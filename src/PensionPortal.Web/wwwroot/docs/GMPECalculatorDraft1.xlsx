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dev\frsl\DDWeb\DDW.Files\Files\Docs\"/>
    </mc:Choice>
  </mc:AlternateContent>
  <xr:revisionPtr revIDLastSave="0" documentId="8_{B5749114-E4A3-4363-A4B8-419A47921A9B}" xr6:coauthVersionLast="47" xr6:coauthVersionMax="47" xr10:uidLastSave="{00000000-0000-0000-0000-000000000000}"/>
  <bookViews>
    <workbookView minimized="1" xWindow="1520" yWindow="1520" windowWidth="19480" windowHeight="12510" activeTab="1" xr2:uid="{00000000-000D-0000-FFFF-FFFF00000000}"/>
    <workbookView xWindow="1860" yWindow="1860" windowWidth="10440" windowHeight="11380" xr2:uid="{C50F885E-B1DA-44F0-9172-88208F8B41CB}"/>
  </bookViews>
  <sheets>
    <sheet name="Input" sheetId="1" r:id="rId1"/>
    <sheet name="Calculation" sheetId="4" r:id="rId2"/>
    <sheet name="Earnings Factors" sheetId="2" r:id="rId3"/>
    <sheet name="Other Factors" sheetId="5" r:id="rId4"/>
    <sheet name="Scratch" sheetId="3" r:id="rId5"/>
  </sheets>
  <definedNames>
    <definedName name="CurrentCase">Calculation!$C$1</definedName>
    <definedName name="DateCOEnd">Calculation!$C$7</definedName>
    <definedName name="DateCOStart">Calculation!$C$6</definedName>
    <definedName name="DateOf16thBirthday">Calculation!$C$26</definedName>
    <definedName name="DateOfBVG">Calculation!$C$49</definedName>
    <definedName name="DateOfDeath">Calculation!$C$10</definedName>
    <definedName name="DateOfEQ">Calculation!$C$50</definedName>
    <definedName name="DateOfLeaving">Calculation!$C$8</definedName>
    <definedName name="DateOfPrevApril">Calculation!$C$28</definedName>
    <definedName name="DateOfRetirement">Calculation!$C$9</definedName>
    <definedName name="DatePost88Start">Calculation!$C$68</definedName>
    <definedName name="DateWorkingLifeStarts">Calculation!$C$29</definedName>
    <definedName name="DOB">Calculation!$C$5</definedName>
    <definedName name="EarningsFactors">'Earnings Factors'!$D$2:$AS$44</definedName>
    <definedName name="EarningsFactorYear">'Earnings Factors'!$A$2:$A$74</definedName>
    <definedName name="EFRow">Calculation!$F$7</definedName>
    <definedName name="EstPenSalHigh">Calculation!$C$37</definedName>
    <definedName name="EstPenSalLow">Calculation!$C$35</definedName>
    <definedName name="EstPenSalMed">Calculation!$C$36</definedName>
    <definedName name="EstPensionHighAccrual">Calculation!$C$41</definedName>
    <definedName name="EstPensionLowAccrual">Calculation!$C$39</definedName>
    <definedName name="EstPensionMedAccrual">Calculation!$C$40</definedName>
    <definedName name="FixedFacF">Calculation!$J$39</definedName>
    <definedName name="FixedFacM">Calculation!$I$39</definedName>
    <definedName name="FuturePIPincs">Calculation!$C$53</definedName>
    <definedName name="GMPFixedRate">Calculation!$H$39</definedName>
    <definedName name="GMPFixedRateTable">'Other Factors'!$C$2:$E$9</definedName>
    <definedName name="GMPRev">Calculation!$C$52</definedName>
    <definedName name="InputData">Input!$A$3:$AO$32</definedName>
    <definedName name="InputFields">Input!$A$2:$AO$2</definedName>
    <definedName name="NRA60XS">Calculation!$C$88</definedName>
    <definedName name="NRA65XS">Calculation!$D$88</definedName>
    <definedName name="Post88RGMP">Calculation!$I$63</definedName>
    <definedName name="PostEQNRA">Calculation!$C$51</definedName>
    <definedName name="Pre88RGMP">Calculation!$I$62</definedName>
    <definedName name="PreEQNRAF">Calculation!$C$48</definedName>
    <definedName name="PreEQNRAM">Calculation!$C$47</definedName>
    <definedName name="PublicsectorIncreaseTable">'Other Factors'!$C$11:$E$39</definedName>
    <definedName name="S148FacF">Calculation!$J$37</definedName>
    <definedName name="S148FacM">Calculation!$I$37</definedName>
    <definedName name="S52AEndYear">'Other Factors'!$J:$J</definedName>
    <definedName name="S52AFactorValue">'Other Factors'!$K:$K</definedName>
    <definedName name="S52AStartYear">'Other Factors'!$I:$I</definedName>
    <definedName name="Service">Calculation!$C$38</definedName>
    <definedName name="Sex">Calculation!$C$4</definedName>
    <definedName name="TaxYear60">Calculation!$D$48</definedName>
    <definedName name="TaxYear65">Calculation!$D$47</definedName>
    <definedName name="TaxYearBase">Calculation!$E$7</definedName>
    <definedName name="TaxYearGMP">Calculation!$I$64</definedName>
    <definedName name="WorkingLifeF">Calculation!$C$33</definedName>
    <definedName name="WorkingLifeM">Calculation!$C$32</definedName>
    <definedName name="YearWorkingLifeEndsM">Calculation!$C$30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9" i="4" l="1"/>
  <c r="B83" i="4" l="1" a="1"/>
  <c r="B83" i="4" s="1"/>
  <c r="C83" i="4" a="1"/>
  <c r="C83" i="4" s="1"/>
  <c r="C81" i="4" s="1"/>
  <c r="C86" i="4" s="1" a="1"/>
  <c r="C86" i="4" s="1"/>
  <c r="C82" i="4" a="1"/>
  <c r="C82" i="4" s="1"/>
  <c r="D81" i="4" s="1"/>
  <c r="D86" i="4" s="1" a="1"/>
  <c r="D86" i="4" s="1"/>
  <c r="B82" i="4" a="1"/>
  <c r="B82" i="4" s="1"/>
  <c r="L108" i="5"/>
  <c r="L107" i="5"/>
  <c r="L106" i="5"/>
  <c r="L105" i="5"/>
  <c r="L104" i="5"/>
  <c r="L103" i="5"/>
  <c r="L102" i="5"/>
  <c r="L101" i="5"/>
  <c r="L100" i="5"/>
  <c r="L99" i="5"/>
  <c r="L98" i="5"/>
  <c r="L97" i="5"/>
  <c r="L96" i="5"/>
  <c r="L95" i="5"/>
  <c r="L94" i="5"/>
  <c r="L93" i="5"/>
  <c r="L92" i="5"/>
  <c r="L91" i="5"/>
  <c r="L90" i="5"/>
  <c r="L89" i="5"/>
  <c r="L88" i="5"/>
  <c r="L87" i="5"/>
  <c r="L86" i="5"/>
  <c r="L85" i="5"/>
  <c r="L84" i="5"/>
  <c r="L83" i="5"/>
  <c r="L82" i="5"/>
  <c r="L81" i="5"/>
  <c r="L80" i="5"/>
  <c r="L79" i="5"/>
  <c r="L78" i="5"/>
  <c r="L77" i="5"/>
  <c r="C79" i="5"/>
  <c r="D79" i="5"/>
  <c r="E79" i="5"/>
  <c r="F79" i="5" s="1"/>
  <c r="C80" i="5"/>
  <c r="D80" i="5"/>
  <c r="E80" i="5"/>
  <c r="F80" i="5"/>
  <c r="C81" i="5"/>
  <c r="D81" i="5"/>
  <c r="E81" i="5"/>
  <c r="F81" i="5"/>
  <c r="C82" i="5"/>
  <c r="D82" i="5"/>
  <c r="E82" i="5"/>
  <c r="F82" i="5"/>
  <c r="C83" i="5"/>
  <c r="D83" i="5"/>
  <c r="E83" i="5"/>
  <c r="F83" i="5"/>
  <c r="C84" i="5"/>
  <c r="D84" i="5"/>
  <c r="E84" i="5"/>
  <c r="F84" i="5"/>
  <c r="C85" i="5"/>
  <c r="D85" i="5"/>
  <c r="E85" i="5"/>
  <c r="F85" i="5"/>
  <c r="C86" i="5"/>
  <c r="D86" i="5"/>
  <c r="E86" i="5"/>
  <c r="F86" i="5"/>
  <c r="C87" i="5"/>
  <c r="D87" i="5"/>
  <c r="E87" i="5"/>
  <c r="F87" i="5"/>
  <c r="C88" i="5"/>
  <c r="D88" i="5"/>
  <c r="E88" i="5"/>
  <c r="F88" i="5"/>
  <c r="C89" i="5"/>
  <c r="D89" i="5"/>
  <c r="E89" i="5"/>
  <c r="F89" i="5"/>
  <c r="C90" i="5"/>
  <c r="D90" i="5"/>
  <c r="E90" i="5"/>
  <c r="F90" i="5"/>
  <c r="C91" i="5"/>
  <c r="D91" i="5"/>
  <c r="E91" i="5"/>
  <c r="F91" i="5"/>
  <c r="C92" i="5"/>
  <c r="D92" i="5"/>
  <c r="E92" i="5"/>
  <c r="F92" i="5"/>
  <c r="C93" i="5"/>
  <c r="D93" i="5"/>
  <c r="E93" i="5"/>
  <c r="F93" i="5"/>
  <c r="C94" i="5"/>
  <c r="D94" i="5"/>
  <c r="E94" i="5"/>
  <c r="F94" i="5"/>
  <c r="C95" i="5"/>
  <c r="D95" i="5"/>
  <c r="E95" i="5"/>
  <c r="F95" i="5"/>
  <c r="C96" i="5"/>
  <c r="D96" i="5"/>
  <c r="E96" i="5"/>
  <c r="F96" i="5"/>
  <c r="C97" i="5"/>
  <c r="D97" i="5"/>
  <c r="E97" i="5"/>
  <c r="F97" i="5"/>
  <c r="C98" i="5"/>
  <c r="D98" i="5"/>
  <c r="E98" i="5"/>
  <c r="F98" i="5"/>
  <c r="C99" i="5"/>
  <c r="D99" i="5"/>
  <c r="E99" i="5"/>
  <c r="F99" i="5"/>
  <c r="C100" i="5"/>
  <c r="D100" i="5"/>
  <c r="E100" i="5"/>
  <c r="F100" i="5"/>
  <c r="C101" i="5"/>
  <c r="D101" i="5"/>
  <c r="E101" i="5"/>
  <c r="F101" i="5"/>
  <c r="C102" i="5"/>
  <c r="D102" i="5"/>
  <c r="E102" i="5"/>
  <c r="F102" i="5"/>
  <c r="C103" i="5"/>
  <c r="D103" i="5"/>
  <c r="E103" i="5"/>
  <c r="F103" i="5"/>
  <c r="C104" i="5"/>
  <c r="D104" i="5"/>
  <c r="E104" i="5"/>
  <c r="F104" i="5"/>
  <c r="C105" i="5"/>
  <c r="D105" i="5"/>
  <c r="E105" i="5"/>
  <c r="F105" i="5"/>
  <c r="C106" i="5"/>
  <c r="D106" i="5"/>
  <c r="E106" i="5"/>
  <c r="F106" i="5"/>
  <c r="C76" i="5"/>
  <c r="F76" i="5" s="1"/>
  <c r="D76" i="5"/>
  <c r="E76" i="5"/>
  <c r="C77" i="5"/>
  <c r="F77" i="5" s="1"/>
  <c r="D77" i="5"/>
  <c r="E77" i="5"/>
  <c r="C78" i="5"/>
  <c r="F78" i="5" s="1"/>
  <c r="D78" i="5"/>
  <c r="E78" i="5"/>
  <c r="E75" i="5"/>
  <c r="D75" i="5"/>
  <c r="C75" i="5"/>
  <c r="C70" i="5"/>
  <c r="F70" i="5" s="1"/>
  <c r="D70" i="5"/>
  <c r="E70" i="5"/>
  <c r="C71" i="5"/>
  <c r="F71" i="5" s="1"/>
  <c r="D71" i="5"/>
  <c r="E71" i="5"/>
  <c r="C72" i="5"/>
  <c r="F72" i="5" s="1"/>
  <c r="D72" i="5"/>
  <c r="E72" i="5"/>
  <c r="C73" i="5"/>
  <c r="F73" i="5" s="1"/>
  <c r="D73" i="5"/>
  <c r="E73" i="5"/>
  <c r="C74" i="5"/>
  <c r="F74" i="5" s="1"/>
  <c r="D74" i="5"/>
  <c r="E74" i="5"/>
  <c r="C44" i="5"/>
  <c r="D44" i="5"/>
  <c r="E44" i="5"/>
  <c r="F44" i="5"/>
  <c r="C45" i="5"/>
  <c r="D45" i="5"/>
  <c r="E45" i="5"/>
  <c r="F45" i="5"/>
  <c r="C46" i="5"/>
  <c r="D46" i="5"/>
  <c r="E46" i="5"/>
  <c r="F46" i="5"/>
  <c r="C47" i="5"/>
  <c r="D47" i="5"/>
  <c r="E47" i="5"/>
  <c r="F47" i="5"/>
  <c r="C48" i="5"/>
  <c r="D48" i="5"/>
  <c r="E48" i="5"/>
  <c r="F48" i="5"/>
  <c r="C49" i="5"/>
  <c r="D49" i="5"/>
  <c r="E49" i="5"/>
  <c r="F49" i="5"/>
  <c r="C50" i="5"/>
  <c r="D50" i="5"/>
  <c r="E50" i="5"/>
  <c r="F50" i="5"/>
  <c r="C51" i="5"/>
  <c r="D51" i="5"/>
  <c r="E51" i="5"/>
  <c r="F51" i="5"/>
  <c r="C52" i="5"/>
  <c r="D52" i="5"/>
  <c r="E52" i="5"/>
  <c r="F52" i="5"/>
  <c r="C53" i="5"/>
  <c r="D53" i="5"/>
  <c r="E53" i="5"/>
  <c r="F53" i="5"/>
  <c r="C54" i="5"/>
  <c r="D54" i="5"/>
  <c r="E54" i="5"/>
  <c r="F54" i="5"/>
  <c r="C55" i="5"/>
  <c r="D55" i="5"/>
  <c r="E55" i="5"/>
  <c r="F55" i="5"/>
  <c r="C56" i="5"/>
  <c r="D56" i="5"/>
  <c r="E56" i="5"/>
  <c r="F56" i="5"/>
  <c r="C57" i="5"/>
  <c r="D57" i="5"/>
  <c r="E57" i="5"/>
  <c r="F57" i="5"/>
  <c r="C58" i="5"/>
  <c r="D58" i="5"/>
  <c r="E58" i="5"/>
  <c r="F58" i="5"/>
  <c r="C59" i="5"/>
  <c r="D59" i="5"/>
  <c r="E59" i="5"/>
  <c r="F59" i="5"/>
  <c r="C60" i="5"/>
  <c r="D60" i="5"/>
  <c r="E60" i="5"/>
  <c r="F60" i="5"/>
  <c r="C61" i="5"/>
  <c r="D61" i="5"/>
  <c r="E61" i="5"/>
  <c r="F61" i="5"/>
  <c r="C62" i="5"/>
  <c r="D62" i="5"/>
  <c r="E62" i="5"/>
  <c r="F62" i="5"/>
  <c r="C63" i="5"/>
  <c r="D63" i="5"/>
  <c r="E63" i="5"/>
  <c r="F63" i="5"/>
  <c r="C64" i="5"/>
  <c r="D64" i="5"/>
  <c r="E64" i="5"/>
  <c r="F64" i="5"/>
  <c r="C65" i="5"/>
  <c r="D65" i="5"/>
  <c r="E65" i="5"/>
  <c r="F65" i="5"/>
  <c r="C66" i="5"/>
  <c r="D66" i="5"/>
  <c r="E66" i="5"/>
  <c r="F66" i="5"/>
  <c r="C67" i="5"/>
  <c r="D67" i="5"/>
  <c r="E67" i="5"/>
  <c r="F67" i="5"/>
  <c r="C68" i="5"/>
  <c r="D68" i="5"/>
  <c r="E68" i="5"/>
  <c r="F68" i="5"/>
  <c r="C69" i="5"/>
  <c r="D69" i="5"/>
  <c r="E69" i="5"/>
  <c r="F69" i="5"/>
  <c r="E43" i="5"/>
  <c r="D43" i="5"/>
  <c r="C43" i="5"/>
  <c r="F40" i="5"/>
  <c r="F41" i="5"/>
  <c r="F42" i="5"/>
  <c r="F38" i="5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39" i="5"/>
  <c r="C9" i="4" a="1"/>
  <c r="C9" i="4" s="1"/>
  <c r="G93" i="4"/>
  <c r="H93" i="4" s="1"/>
  <c r="G94" i="4"/>
  <c r="H94" i="4" s="1"/>
  <c r="G95" i="4"/>
  <c r="H95" i="4" s="1"/>
  <c r="G96" i="4"/>
  <c r="H96" i="4" s="1"/>
  <c r="G97" i="4"/>
  <c r="H97" i="4" s="1"/>
  <c r="G98" i="4"/>
  <c r="H98" i="4" s="1"/>
  <c r="G99" i="4"/>
  <c r="H99" i="4" s="1"/>
  <c r="G100" i="4"/>
  <c r="H100" i="4" s="1"/>
  <c r="G101" i="4"/>
  <c r="H101" i="4" s="1"/>
  <c r="G102" i="4"/>
  <c r="H102" i="4" s="1"/>
  <c r="G103" i="4"/>
  <c r="H103" i="4" s="1"/>
  <c r="G104" i="4"/>
  <c r="H104" i="4" s="1"/>
  <c r="G105" i="4"/>
  <c r="H105" i="4" s="1"/>
  <c r="G106" i="4"/>
  <c r="H106" i="4" s="1"/>
  <c r="G107" i="4"/>
  <c r="H107" i="4" s="1"/>
  <c r="G108" i="4"/>
  <c r="H108" i="4" s="1"/>
  <c r="G109" i="4"/>
  <c r="H109" i="4" s="1"/>
  <c r="G110" i="4"/>
  <c r="H110" i="4" s="1"/>
  <c r="G111" i="4"/>
  <c r="H111" i="4" s="1"/>
  <c r="G112" i="4"/>
  <c r="H112" i="4" s="1"/>
  <c r="G113" i="4"/>
  <c r="H113" i="4" s="1"/>
  <c r="G114" i="4"/>
  <c r="H114" i="4" s="1"/>
  <c r="G115" i="4"/>
  <c r="H115" i="4" s="1"/>
  <c r="G116" i="4"/>
  <c r="H116" i="4" s="1"/>
  <c r="G117" i="4"/>
  <c r="H117" i="4" s="1"/>
  <c r="G118" i="4"/>
  <c r="H118" i="4" s="1"/>
  <c r="G119" i="4"/>
  <c r="H119" i="4" s="1"/>
  <c r="G120" i="4"/>
  <c r="H120" i="4" s="1"/>
  <c r="G121" i="4"/>
  <c r="H121" i="4" s="1"/>
  <c r="G122" i="4"/>
  <c r="H122" i="4" s="1"/>
  <c r="G123" i="4"/>
  <c r="H123" i="4" s="1"/>
  <c r="G124" i="4"/>
  <c r="H124" i="4" s="1"/>
  <c r="G125" i="4"/>
  <c r="H125" i="4" s="1"/>
  <c r="G126" i="4"/>
  <c r="H126" i="4" s="1"/>
  <c r="G127" i="4"/>
  <c r="H127" i="4" s="1"/>
  <c r="G92" i="4"/>
  <c r="H92" i="4" s="1"/>
  <c r="C70" i="4"/>
  <c r="C57" i="4"/>
  <c r="B4" i="4" a="1"/>
  <c r="B4" i="4" s="1"/>
  <c r="C4" i="4" a="1"/>
  <c r="C4" i="4" s="1"/>
  <c r="B5" i="4" a="1"/>
  <c r="B5" i="4" s="1"/>
  <c r="C5" i="4" a="1"/>
  <c r="C5" i="4" s="1"/>
  <c r="C26" i="4" s="1"/>
  <c r="B6" i="4" a="1"/>
  <c r="B6" i="4" s="1"/>
  <c r="C6" i="4" a="1"/>
  <c r="C6" i="4" s="1"/>
  <c r="C68" i="4" s="1"/>
  <c r="B7" i="4" a="1"/>
  <c r="B7" i="4" s="1"/>
  <c r="C7" i="4" a="1"/>
  <c r="C7" i="4" s="1"/>
  <c r="E7" i="4" s="1"/>
  <c r="H37" i="4" s="1"/>
  <c r="B8" i="4" a="1"/>
  <c r="B8" i="4" s="1"/>
  <c r="C8" i="4" a="1"/>
  <c r="C8" i="4" s="1"/>
  <c r="D56" i="4" s="1"/>
  <c r="B9" i="4" a="1"/>
  <c r="B9" i="4" s="1"/>
  <c r="B10" i="4" a="1"/>
  <c r="B10" i="4" s="1"/>
  <c r="C10" i="4" a="1"/>
  <c r="C10" i="4" s="1"/>
  <c r="B12" i="4" a="1"/>
  <c r="B12" i="4" s="1"/>
  <c r="C12" i="4" a="1"/>
  <c r="C12" i="4" s="1"/>
  <c r="B14" i="4" a="1"/>
  <c r="B14" i="4" s="1"/>
  <c r="C14" i="4" a="1"/>
  <c r="C14" i="4" s="1"/>
  <c r="B15" i="4" a="1"/>
  <c r="B15" i="4" s="1"/>
  <c r="C15" i="4" a="1"/>
  <c r="C15" i="4" s="1"/>
  <c r="B16" i="4" a="1"/>
  <c r="B16" i="4" s="1"/>
  <c r="C16" i="4" a="1"/>
  <c r="C16" i="4" s="1"/>
  <c r="B17" i="4" a="1"/>
  <c r="B17" i="4" s="1"/>
  <c r="C17" i="4" a="1"/>
  <c r="C17" i="4" s="1"/>
  <c r="B18" i="4" a="1"/>
  <c r="B18" i="4" s="1"/>
  <c r="C18" i="4" a="1"/>
  <c r="C18" i="4" s="1"/>
  <c r="B19" i="4" a="1"/>
  <c r="B19" i="4" s="1"/>
  <c r="C19" i="4" a="1"/>
  <c r="C19" i="4" s="1"/>
  <c r="B20" i="4" a="1"/>
  <c r="B20" i="4" s="1"/>
  <c r="C20" i="4" a="1"/>
  <c r="C20" i="4" s="1"/>
  <c r="B21" i="4" a="1"/>
  <c r="B21" i="4" s="1"/>
  <c r="C21" i="4" a="1"/>
  <c r="C21" i="4" s="1"/>
  <c r="B22" i="4" a="1"/>
  <c r="B22" i="4" s="1"/>
  <c r="C22" i="4" a="1"/>
  <c r="C22" i="4" s="1"/>
  <c r="B23" i="4" a="1"/>
  <c r="B23" i="4" s="1"/>
  <c r="C23" i="4" a="1"/>
  <c r="C23" i="4" s="1"/>
  <c r="C36" i="4" s="1"/>
  <c r="B3" i="4" a="1"/>
  <c r="B3" i="4" s="1"/>
  <c r="C3" i="4" a="1"/>
  <c r="C3" i="4" s="1"/>
  <c r="C2" i="4" a="1"/>
  <c r="C2" i="4" s="1"/>
  <c r="B2" i="4" a="1"/>
  <c r="B2" i="4" s="1"/>
  <c r="F75" i="5" l="1"/>
  <c r="F43" i="5"/>
  <c r="I68" i="4"/>
  <c r="I69" i="4"/>
  <c r="I70" i="4"/>
  <c r="C69" i="4"/>
  <c r="C71" i="4" s="1"/>
  <c r="D71" i="4" s="1"/>
  <c r="D58" i="4"/>
  <c r="D59" i="4" s="1"/>
  <c r="D47" i="4"/>
  <c r="D48" i="4"/>
  <c r="F7" i="4"/>
  <c r="F20" i="4" s="1"/>
  <c r="G20" i="4" s="1"/>
  <c r="C38" i="4"/>
  <c r="C44" i="4" s="1"/>
  <c r="C58" i="4"/>
  <c r="C59" i="4" s="1"/>
  <c r="C35" i="4"/>
  <c r="C37" i="4"/>
  <c r="C27" i="4"/>
  <c r="C28" i="4" s="1"/>
  <c r="C29" i="4" s="1"/>
  <c r="I71" i="4" l="1"/>
  <c r="J71" i="4" s="1"/>
  <c r="C100" i="4"/>
  <c r="C108" i="4"/>
  <c r="C116" i="4"/>
  <c r="C124" i="4"/>
  <c r="C93" i="4"/>
  <c r="C101" i="4"/>
  <c r="C109" i="4"/>
  <c r="C117" i="4"/>
  <c r="C125" i="4"/>
  <c r="C107" i="4"/>
  <c r="C102" i="4"/>
  <c r="C110" i="4"/>
  <c r="C118" i="4"/>
  <c r="C126" i="4"/>
  <c r="C115" i="4"/>
  <c r="C95" i="4"/>
  <c r="C111" i="4"/>
  <c r="C119" i="4"/>
  <c r="C127" i="4"/>
  <c r="C96" i="4"/>
  <c r="C112" i="4"/>
  <c r="C120" i="4"/>
  <c r="C92" i="4"/>
  <c r="I92" i="4" s="1"/>
  <c r="C97" i="4"/>
  <c r="C105" i="4"/>
  <c r="C121" i="4"/>
  <c r="C98" i="4"/>
  <c r="C106" i="4"/>
  <c r="C114" i="4"/>
  <c r="C122" i="4"/>
  <c r="C123" i="4"/>
  <c r="D96" i="4"/>
  <c r="D112" i="4"/>
  <c r="D120" i="4"/>
  <c r="D92" i="4"/>
  <c r="J92" i="4" s="1"/>
  <c r="D97" i="4"/>
  <c r="D105" i="4"/>
  <c r="D113" i="4"/>
  <c r="D121" i="4"/>
  <c r="D103" i="4"/>
  <c r="D98" i="4"/>
  <c r="D106" i="4"/>
  <c r="D114" i="4"/>
  <c r="D122" i="4"/>
  <c r="D111" i="4"/>
  <c r="D107" i="4"/>
  <c r="D115" i="4"/>
  <c r="D123" i="4"/>
  <c r="D95" i="4"/>
  <c r="D100" i="4"/>
  <c r="D116" i="4"/>
  <c r="D124" i="4"/>
  <c r="D127" i="4"/>
  <c r="D93" i="4"/>
  <c r="D101" i="4"/>
  <c r="D117" i="4"/>
  <c r="D125" i="4"/>
  <c r="D94" i="4"/>
  <c r="D102" i="4"/>
  <c r="D110" i="4"/>
  <c r="D126" i="4"/>
  <c r="D119" i="4"/>
  <c r="I64" i="4"/>
  <c r="C45" i="4"/>
  <c r="C64" i="4" s="1"/>
  <c r="C43" i="4"/>
  <c r="D62" i="4" s="1"/>
  <c r="E59" i="4"/>
  <c r="F12" i="4"/>
  <c r="G12" i="4" s="1"/>
  <c r="F17" i="4"/>
  <c r="G17" i="4" s="1"/>
  <c r="F19" i="4"/>
  <c r="G19" i="4" s="1"/>
  <c r="F18" i="4"/>
  <c r="G18" i="4" s="1"/>
  <c r="F14" i="4"/>
  <c r="G14" i="4" s="1"/>
  <c r="F23" i="4"/>
  <c r="G23" i="4" s="1"/>
  <c r="F16" i="4"/>
  <c r="G16" i="4" s="1"/>
  <c r="F21" i="4"/>
  <c r="G21" i="4" s="1"/>
  <c r="F22" i="4"/>
  <c r="G22" i="4" s="1"/>
  <c r="F15" i="4"/>
  <c r="G15" i="4" s="1"/>
  <c r="C63" i="4"/>
  <c r="D63" i="4"/>
  <c r="C30" i="4"/>
  <c r="C62" i="4" l="1"/>
  <c r="E62" i="4" s="1"/>
  <c r="J93" i="4"/>
  <c r="J94" i="4" s="1"/>
  <c r="J95" i="4" s="1"/>
  <c r="J96" i="4" s="1"/>
  <c r="J97" i="4" s="1"/>
  <c r="J98" i="4" s="1"/>
  <c r="D64" i="4"/>
  <c r="E64" i="4" s="1"/>
  <c r="I93" i="4"/>
  <c r="F97" i="4"/>
  <c r="F105" i="4"/>
  <c r="F113" i="4"/>
  <c r="F121" i="4"/>
  <c r="E93" i="4"/>
  <c r="E101" i="4"/>
  <c r="E117" i="4"/>
  <c r="E125" i="4"/>
  <c r="F98" i="4"/>
  <c r="F106" i="4"/>
  <c r="F114" i="4"/>
  <c r="F122" i="4"/>
  <c r="E94" i="4"/>
  <c r="E102" i="4"/>
  <c r="E110" i="4"/>
  <c r="E126" i="4"/>
  <c r="F112" i="4"/>
  <c r="E100" i="4"/>
  <c r="E124" i="4"/>
  <c r="F107" i="4"/>
  <c r="F115" i="4"/>
  <c r="F123" i="4"/>
  <c r="E95" i="4"/>
  <c r="E111" i="4"/>
  <c r="E119" i="4"/>
  <c r="E127" i="4"/>
  <c r="F96" i="4"/>
  <c r="F120" i="4"/>
  <c r="E116" i="4"/>
  <c r="F100" i="4"/>
  <c r="F108" i="4"/>
  <c r="F116" i="4"/>
  <c r="F124" i="4"/>
  <c r="E96" i="4"/>
  <c r="E112" i="4"/>
  <c r="E120" i="4"/>
  <c r="E92" i="4"/>
  <c r="K92" i="4" s="1"/>
  <c r="F92" i="4"/>
  <c r="L92" i="4" s="1"/>
  <c r="F93" i="4"/>
  <c r="F101" i="4"/>
  <c r="F117" i="4"/>
  <c r="F125" i="4"/>
  <c r="E97" i="4"/>
  <c r="E105" i="4"/>
  <c r="E113" i="4"/>
  <c r="E121" i="4"/>
  <c r="F94" i="4"/>
  <c r="F102" i="4"/>
  <c r="F110" i="4"/>
  <c r="F126" i="4"/>
  <c r="E98" i="4"/>
  <c r="E106" i="4"/>
  <c r="E114" i="4"/>
  <c r="E122" i="4"/>
  <c r="E108" i="4"/>
  <c r="F95" i="4"/>
  <c r="F111" i="4"/>
  <c r="F119" i="4"/>
  <c r="F127" i="4"/>
  <c r="E107" i="4"/>
  <c r="E115" i="4"/>
  <c r="E123" i="4"/>
  <c r="I35" i="4"/>
  <c r="I36" i="4" s="1"/>
  <c r="I60" i="4"/>
  <c r="E63" i="4"/>
  <c r="C32" i="4"/>
  <c r="L93" i="4" l="1"/>
  <c r="L94" i="4" s="1"/>
  <c r="L95" i="4" s="1"/>
  <c r="L96" i="4" s="1"/>
  <c r="L97" i="4" s="1"/>
  <c r="L98" i="4" s="1"/>
  <c r="K93" i="4"/>
  <c r="K94" i="4" s="1"/>
  <c r="K95" i="4" s="1"/>
  <c r="K96" i="4" s="1"/>
  <c r="K97" i="4" s="1"/>
  <c r="K98" i="4" s="1"/>
  <c r="M92" i="4"/>
  <c r="J60" i="4"/>
  <c r="J61" i="4" s="1"/>
  <c r="C87" i="4" s="1"/>
  <c r="I61" i="4"/>
  <c r="D87" i="4" s="1"/>
  <c r="I38" i="4"/>
  <c r="I39" i="4" s="1"/>
  <c r="I37" i="4" s="1"/>
  <c r="J35" i="4"/>
  <c r="C33" i="4"/>
  <c r="I15" i="4"/>
  <c r="I18" i="4"/>
  <c r="I20" i="4"/>
  <c r="I16" i="4"/>
  <c r="I14" i="4"/>
  <c r="I12" i="4"/>
  <c r="I21" i="4"/>
  <c r="I19" i="4"/>
  <c r="I23" i="4"/>
  <c r="I22" i="4"/>
  <c r="I17" i="4"/>
  <c r="M93" i="4" l="1"/>
  <c r="J36" i="4"/>
  <c r="J38" i="4"/>
  <c r="J39" i="4" s="1"/>
  <c r="I26" i="4"/>
  <c r="I29" i="4"/>
  <c r="J16" i="4"/>
  <c r="J18" i="4"/>
  <c r="J15" i="4"/>
  <c r="J19" i="4"/>
  <c r="J20" i="4"/>
  <c r="J23" i="4"/>
  <c r="J17" i="4"/>
  <c r="J12" i="4"/>
  <c r="J14" i="4"/>
  <c r="J22" i="4"/>
  <c r="J21" i="4"/>
  <c r="J37" i="4" l="1"/>
  <c r="I27" i="4"/>
  <c r="I43" i="4" s="1"/>
  <c r="I42" i="4" s="1"/>
  <c r="D74" i="4"/>
  <c r="J26" i="4"/>
  <c r="J27" i="4" s="1"/>
  <c r="J29" i="4"/>
  <c r="I32" i="4"/>
  <c r="I30" i="4"/>
  <c r="I52" i="4" l="1"/>
  <c r="I51" i="4" s="1"/>
  <c r="I62" i="4" s="1"/>
  <c r="E109" i="4" s="1"/>
  <c r="E74" i="4"/>
  <c r="J74" i="4"/>
  <c r="K74" i="4" s="1"/>
  <c r="J73" i="4"/>
  <c r="I73" i="4"/>
  <c r="I33" i="4"/>
  <c r="D73" i="4"/>
  <c r="D75" i="4" s="1"/>
  <c r="C73" i="4"/>
  <c r="I46" i="4"/>
  <c r="I45" i="4" s="1"/>
  <c r="I55" i="4"/>
  <c r="J43" i="4"/>
  <c r="J42" i="4" s="1"/>
  <c r="J52" i="4"/>
  <c r="J51" i="4" s="1"/>
  <c r="J30" i="4"/>
  <c r="J32" i="4"/>
  <c r="J33" i="4" s="1"/>
  <c r="E99" i="4" l="1"/>
  <c r="K99" i="4" s="1"/>
  <c r="K100" i="4" s="1"/>
  <c r="K101" i="4" s="1"/>
  <c r="K102" i="4" s="1"/>
  <c r="E104" i="4"/>
  <c r="E118" i="4"/>
  <c r="E103" i="4"/>
  <c r="J75" i="4"/>
  <c r="I75" i="4"/>
  <c r="K73" i="4"/>
  <c r="K75" i="4" s="1"/>
  <c r="I49" i="4"/>
  <c r="I48" i="4" s="1"/>
  <c r="E73" i="4"/>
  <c r="E75" i="4" s="1"/>
  <c r="C75" i="4"/>
  <c r="D80" i="4"/>
  <c r="D78" i="4"/>
  <c r="D88" i="4" s="1"/>
  <c r="D109" i="4" s="1"/>
  <c r="D79" i="4"/>
  <c r="I54" i="4"/>
  <c r="I58" i="4"/>
  <c r="I57" i="4" s="1"/>
  <c r="J46" i="4"/>
  <c r="J49" i="4" s="1"/>
  <c r="J48" i="4" s="1"/>
  <c r="J55" i="4"/>
  <c r="K103" i="4" l="1"/>
  <c r="D99" i="4"/>
  <c r="J99" i="4" s="1"/>
  <c r="J100" i="4" s="1"/>
  <c r="J101" i="4" s="1"/>
  <c r="J102" i="4" s="1"/>
  <c r="J103" i="4" s="1"/>
  <c r="D104" i="4"/>
  <c r="K104" i="4"/>
  <c r="K105" i="4" s="1"/>
  <c r="K106" i="4" s="1"/>
  <c r="K107" i="4" s="1"/>
  <c r="K108" i="4" s="1"/>
  <c r="K109" i="4" s="1"/>
  <c r="K110" i="4" s="1"/>
  <c r="K111" i="4" s="1"/>
  <c r="K112" i="4" s="1"/>
  <c r="K113" i="4" s="1"/>
  <c r="K114" i="4" s="1"/>
  <c r="K115" i="4" s="1"/>
  <c r="K116" i="4" s="1"/>
  <c r="K117" i="4" s="1"/>
  <c r="K118" i="4" s="1"/>
  <c r="K119" i="4" s="1"/>
  <c r="K120" i="4" s="1"/>
  <c r="K121" i="4" s="1"/>
  <c r="K122" i="4" s="1"/>
  <c r="K123" i="4" s="1"/>
  <c r="K124" i="4" s="1"/>
  <c r="K125" i="4" s="1"/>
  <c r="K126" i="4" s="1"/>
  <c r="K127" i="4" s="1"/>
  <c r="D118" i="4"/>
  <c r="D108" i="4"/>
  <c r="J45" i="4"/>
  <c r="C80" i="4"/>
  <c r="E80" i="4" s="1"/>
  <c r="F80" i="4" s="1"/>
  <c r="C79" i="4"/>
  <c r="E79" i="4" s="1"/>
  <c r="F79" i="4" s="1"/>
  <c r="C78" i="4"/>
  <c r="J54" i="4"/>
  <c r="J58" i="4"/>
  <c r="J57" i="4" s="1"/>
  <c r="I63" i="4" s="1"/>
  <c r="F109" i="4" s="1"/>
  <c r="F99" i="4" l="1"/>
  <c r="L99" i="4" s="1"/>
  <c r="L100" i="4" s="1"/>
  <c r="L101" i="4" s="1"/>
  <c r="L102" i="4" s="1"/>
  <c r="F104" i="4"/>
  <c r="J104" i="4"/>
  <c r="J105" i="4" s="1"/>
  <c r="J106" i="4" s="1"/>
  <c r="J107" i="4" s="1"/>
  <c r="J108" i="4" s="1"/>
  <c r="J109" i="4" s="1"/>
  <c r="J110" i="4" s="1"/>
  <c r="J111" i="4" s="1"/>
  <c r="J112" i="4" s="1"/>
  <c r="J113" i="4" s="1"/>
  <c r="J114" i="4" s="1"/>
  <c r="J115" i="4" s="1"/>
  <c r="J116" i="4" s="1"/>
  <c r="J117" i="4" s="1"/>
  <c r="J118" i="4" s="1"/>
  <c r="J119" i="4" s="1"/>
  <c r="J120" i="4" s="1"/>
  <c r="J121" i="4" s="1"/>
  <c r="J122" i="4" s="1"/>
  <c r="J123" i="4" s="1"/>
  <c r="J124" i="4" s="1"/>
  <c r="J125" i="4" s="1"/>
  <c r="J126" i="4" s="1"/>
  <c r="J127" i="4" s="1"/>
  <c r="F118" i="4"/>
  <c r="F103" i="4"/>
  <c r="C88" i="4"/>
  <c r="C104" i="4" s="1"/>
  <c r="E78" i="4"/>
  <c r="F78" i="4" s="1"/>
  <c r="L103" i="4" l="1"/>
  <c r="L104" i="4" s="1"/>
  <c r="L105" i="4" s="1"/>
  <c r="L106" i="4" s="1"/>
  <c r="L107" i="4" s="1"/>
  <c r="L108" i="4" s="1"/>
  <c r="L109" i="4" s="1"/>
  <c r="L110" i="4" s="1"/>
  <c r="L111" i="4" s="1"/>
  <c r="L112" i="4" s="1"/>
  <c r="L113" i="4" s="1"/>
  <c r="L114" i="4" s="1"/>
  <c r="L115" i="4" s="1"/>
  <c r="L116" i="4" s="1"/>
  <c r="L117" i="4" s="1"/>
  <c r="L118" i="4" s="1"/>
  <c r="L119" i="4" s="1"/>
  <c r="L120" i="4" s="1"/>
  <c r="L121" i="4" s="1"/>
  <c r="L122" i="4" s="1"/>
  <c r="L123" i="4" s="1"/>
  <c r="L124" i="4" s="1"/>
  <c r="L125" i="4" s="1"/>
  <c r="L126" i="4" s="1"/>
  <c r="L127" i="4" s="1"/>
  <c r="C94" i="4"/>
  <c r="I94" i="4" s="1"/>
  <c r="I95" i="4" s="1"/>
  <c r="C99" i="4"/>
  <c r="C113" i="4"/>
  <c r="C103" i="4"/>
  <c r="M94" i="4" l="1"/>
  <c r="M95" i="4"/>
  <c r="I96" i="4"/>
  <c r="I97" i="4" l="1"/>
  <c r="M96" i="4"/>
  <c r="I98" i="4" l="1"/>
  <c r="M97" i="4"/>
  <c r="I99" i="4" l="1"/>
  <c r="M98" i="4"/>
  <c r="I100" i="4" l="1"/>
  <c r="M99" i="4"/>
  <c r="I101" i="4" l="1"/>
  <c r="M100" i="4"/>
  <c r="I102" i="4" l="1"/>
  <c r="M101" i="4"/>
  <c r="M102" i="4" l="1"/>
  <c r="I103" i="4"/>
  <c r="M103" i="4" l="1"/>
  <c r="I104" i="4"/>
  <c r="I105" i="4" l="1"/>
  <c r="M104" i="4"/>
  <c r="I106" i="4" l="1"/>
  <c r="M105" i="4"/>
  <c r="I107" i="4" l="1"/>
  <c r="M106" i="4"/>
  <c r="I108" i="4" l="1"/>
  <c r="M107" i="4"/>
  <c r="M108" i="4" l="1"/>
  <c r="I109" i="4"/>
  <c r="I110" i="4" l="1"/>
  <c r="M109" i="4"/>
  <c r="I111" i="4" l="1"/>
  <c r="M110" i="4"/>
  <c r="I112" i="4" l="1"/>
  <c r="M111" i="4"/>
  <c r="I113" i="4" l="1"/>
  <c r="M112" i="4"/>
  <c r="I114" i="4" l="1"/>
  <c r="M113" i="4"/>
  <c r="I115" i="4" l="1"/>
  <c r="M114" i="4"/>
  <c r="I116" i="4" l="1"/>
  <c r="M115" i="4"/>
  <c r="I117" i="4" l="1"/>
  <c r="M116" i="4"/>
  <c r="I118" i="4" l="1"/>
  <c r="M117" i="4"/>
  <c r="I119" i="4" l="1"/>
  <c r="M118" i="4"/>
  <c r="I120" i="4" l="1"/>
  <c r="M119" i="4"/>
  <c r="I121" i="4" l="1"/>
  <c r="M120" i="4"/>
  <c r="I122" i="4" l="1"/>
  <c r="M121" i="4"/>
  <c r="I123" i="4" l="1"/>
  <c r="M122" i="4"/>
  <c r="I124" i="4" l="1"/>
  <c r="M123" i="4"/>
  <c r="I125" i="4" l="1"/>
  <c r="M124" i="4"/>
  <c r="I126" i="4" l="1"/>
  <c r="M125" i="4"/>
  <c r="I127" i="4" l="1"/>
  <c r="M127" i="4" s="1"/>
  <c r="M126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<sst xmlns="http://schemas.openxmlformats.org/spreadsheetml/2006/main" count="693" uniqueCount="344">
  <si>
    <t>https://www.legislation.gov.uk/uksi/1991/1108/schedule/made</t>
  </si>
  <si>
    <t>Government website link</t>
  </si>
  <si>
    <t>Local link</t>
  </si>
  <si>
    <t>EarningsFactorOrder1991.pdf</t>
  </si>
  <si>
    <t>https://www.legislation.gov.uk/uksi/2020/193/made</t>
  </si>
  <si>
    <t>Tax Year</t>
  </si>
  <si>
    <t>EarningsFactorOrder2020.pdf</t>
  </si>
  <si>
    <t>Tax year</t>
  </si>
  <si>
    <t>Percentage increase</t>
  </si>
  <si>
    <t>1978-1979</t>
  </si>
  <si>
    <t>1979-1980</t>
  </si>
  <si>
    <t>1980-1981</t>
  </si>
  <si>
    <t>1981-1982</t>
  </si>
  <si>
    <t>1982-1983</t>
  </si>
  <si>
    <t>1983-1984</t>
  </si>
  <si>
    <t>1984-1985</t>
  </si>
  <si>
    <t>1985-1986</t>
  </si>
  <si>
    <t>1986-1987</t>
  </si>
  <si>
    <t>1987-1988</t>
  </si>
  <si>
    <t>1988-1989</t>
  </si>
  <si>
    <t>1989-1990</t>
  </si>
  <si>
    <t>1990-1991</t>
  </si>
  <si>
    <t>1991-1992</t>
  </si>
  <si>
    <t>1992-1993</t>
  </si>
  <si>
    <t>1993-1994</t>
  </si>
  <si>
    <t>1994-1995</t>
  </si>
  <si>
    <t>1995-1996</t>
  </si>
  <si>
    <t>1996-1997</t>
  </si>
  <si>
    <t>1997-1998</t>
  </si>
  <si>
    <t>1998-1999</t>
  </si>
  <si>
    <t>1999-2000</t>
  </si>
  <si>
    <t>2000-2001</t>
  </si>
  <si>
    <t>2001-2002</t>
  </si>
  <si>
    <t>2002-2003</t>
  </si>
  <si>
    <t>2003-2004</t>
  </si>
  <si>
    <t>2004-2005</t>
  </si>
  <si>
    <t>2005-2006</t>
  </si>
  <si>
    <t>2006-2007</t>
  </si>
  <si>
    <t>2007-2008</t>
  </si>
  <si>
    <t>2008-2009</t>
  </si>
  <si>
    <t>2009-2010</t>
  </si>
  <si>
    <t>2010-2011</t>
  </si>
  <si>
    <t>2011-2012</t>
  </si>
  <si>
    <t>2012-2013</t>
  </si>
  <si>
    <t>2013-2014</t>
  </si>
  <si>
    <t>2014-2015</t>
  </si>
  <si>
    <t>2015-2016</t>
  </si>
  <si>
    <t>2016-2017</t>
  </si>
  <si>
    <t>2017-2018</t>
  </si>
  <si>
    <t>2018-2019</t>
  </si>
  <si>
    <t>2019-2020</t>
  </si>
  <si>
    <t>CaseID</t>
  </si>
  <si>
    <t>CaseDescription</t>
  </si>
  <si>
    <t>Sex</t>
  </si>
  <si>
    <t>M</t>
  </si>
  <si>
    <t>DateCOStart</t>
  </si>
  <si>
    <t>DateCOEnd</t>
  </si>
  <si>
    <t>DateOfLeaving</t>
  </si>
  <si>
    <t>DateOfRetirement</t>
  </si>
  <si>
    <t>DateOfDeath</t>
  </si>
  <si>
    <t>BETye88</t>
  </si>
  <si>
    <t>CbnsTye87</t>
  </si>
  <si>
    <t>BETye89</t>
  </si>
  <si>
    <t>BETye90</t>
  </si>
  <si>
    <t>BETye91</t>
  </si>
  <si>
    <t>1989/90</t>
  </si>
  <si>
    <t>1990/91</t>
  </si>
  <si>
    <t>1991/92</t>
  </si>
  <si>
    <t>1992/93</t>
  </si>
  <si>
    <t>1993/94</t>
  </si>
  <si>
    <t>1994/95</t>
  </si>
  <si>
    <t>1995/96</t>
  </si>
  <si>
    <t>1996/97</t>
  </si>
  <si>
    <t>BETye92</t>
  </si>
  <si>
    <t>BETye93</t>
  </si>
  <si>
    <t>BETye94</t>
  </si>
  <si>
    <t>BETye95</t>
  </si>
  <si>
    <t>BETye96</t>
  </si>
  <si>
    <t>BETye97</t>
  </si>
  <si>
    <t>1978/79</t>
  </si>
  <si>
    <t>1979/80</t>
  </si>
  <si>
    <t>1980/81</t>
  </si>
  <si>
    <t>1981/82</t>
  </si>
  <si>
    <t>1982/83</t>
  </si>
  <si>
    <t>1983/84</t>
  </si>
  <si>
    <t>1984/85</t>
  </si>
  <si>
    <t>1985/86</t>
  </si>
  <si>
    <t>1986/87</t>
  </si>
  <si>
    <t>1987/88</t>
  </si>
  <si>
    <t>1988/89</t>
  </si>
  <si>
    <t>1997/98</t>
  </si>
  <si>
    <t>1998/99</t>
  </si>
  <si>
    <t>1999/2000</t>
  </si>
  <si>
    <t>2000/2001</t>
  </si>
  <si>
    <t>2001/2002</t>
  </si>
  <si>
    <t>https://www.legislation.gov.uk/uksi/2002/519/schedule/made</t>
  </si>
  <si>
    <t>EarningsFactorOrder2002.pdf</t>
  </si>
  <si>
    <t>CurrentCase</t>
  </si>
  <si>
    <t>Row</t>
  </si>
  <si>
    <t>TYS</t>
  </si>
  <si>
    <t>DateOf16thBirthday</t>
  </si>
  <si>
    <t>DateOf6thApril</t>
  </si>
  <si>
    <t>DateOfPrevApril</t>
  </si>
  <si>
    <t>YearWorkingLifeStarts</t>
  </si>
  <si>
    <t>Rev</t>
  </si>
  <si>
    <t>Rate</t>
  </si>
  <si>
    <t>Earnings</t>
  </si>
  <si>
    <t>TY</t>
  </si>
  <si>
    <t>End</t>
  </si>
  <si>
    <t>Acrrual</t>
  </si>
  <si>
    <t>Unrounded</t>
  </si>
  <si>
    <t>GMP</t>
  </si>
  <si>
    <t>Pre88</t>
  </si>
  <si>
    <t>Total</t>
  </si>
  <si>
    <t>Per week</t>
  </si>
  <si>
    <t>Post88</t>
  </si>
  <si>
    <t>https://www.legislation.gov.uk/uksi/2015/187/schedule/made</t>
  </si>
  <si>
    <t>EarningsFactorOrder2015.pdf</t>
  </si>
  <si>
    <t>1978 – 1979</t>
  </si>
  <si>
    <t>1979 – 1980</t>
  </si>
  <si>
    <t>1980 – 1981</t>
  </si>
  <si>
    <t>1981 – 1982</t>
  </si>
  <si>
    <t>1982 – 1983</t>
  </si>
  <si>
    <t>1983 – 1984</t>
  </si>
  <si>
    <t>1984 – 1985</t>
  </si>
  <si>
    <t>1985 – 1986</t>
  </si>
  <si>
    <t>1986 – 1987</t>
  </si>
  <si>
    <t>1987 – 1988</t>
  </si>
  <si>
    <t>1988 – 1989</t>
  </si>
  <si>
    <t>1989 – 1990</t>
  </si>
  <si>
    <t>1990 – 1991</t>
  </si>
  <si>
    <t>1991 – 1992</t>
  </si>
  <si>
    <t>1992 – 1993</t>
  </si>
  <si>
    <t>1993 – 1994</t>
  </si>
  <si>
    <t>1994 – 1995</t>
  </si>
  <si>
    <t>1995 – 1996</t>
  </si>
  <si>
    <t>1996 – 1997</t>
  </si>
  <si>
    <t>1997 – 1998</t>
  </si>
  <si>
    <t>1998 – 1999</t>
  </si>
  <si>
    <t>1999 – 2000</t>
  </si>
  <si>
    <t>2000 – 2001</t>
  </si>
  <si>
    <t>2001 – 2002</t>
  </si>
  <si>
    <t>2002 – 2003</t>
  </si>
  <si>
    <t>2003 – 2004</t>
  </si>
  <si>
    <t>2004 – 2005</t>
  </si>
  <si>
    <t>2005 – 2006</t>
  </si>
  <si>
    <t>2006 – 2007</t>
  </si>
  <si>
    <t>2007 – 2008</t>
  </si>
  <si>
    <t>2008 – 2009</t>
  </si>
  <si>
    <t>2009 – 2010</t>
  </si>
  <si>
    <t>https://www.legislation.gov.uk/uksi/2010/470/schedule/made</t>
  </si>
  <si>
    <t>EarningsFactorOrder2010.pdf</t>
  </si>
  <si>
    <t>YearWorkingLifeEndsM</t>
  </si>
  <si>
    <t>Male</t>
  </si>
  <si>
    <t>Female</t>
  </si>
  <si>
    <t>WorkingLifeM</t>
  </si>
  <si>
    <t>WorkingLifeF</t>
  </si>
  <si>
    <t>Revaluation To Year</t>
  </si>
  <si>
    <t>At leaving</t>
  </si>
  <si>
    <t>At GMP payable age</t>
  </si>
  <si>
    <t>Service</t>
  </si>
  <si>
    <t>EstPensionLowAccrual</t>
  </si>
  <si>
    <t>EstPensionMedAccrual</t>
  </si>
  <si>
    <t>EstPenSalHigh</t>
  </si>
  <si>
    <t>EstPensionHighAccrual</t>
  </si>
  <si>
    <t>EstPenLow</t>
  </si>
  <si>
    <t>EstPenMed</t>
  </si>
  <si>
    <t>EstPenHigh</t>
  </si>
  <si>
    <t>EstPenSalMed</t>
  </si>
  <si>
    <t>EstPenSalLow</t>
  </si>
  <si>
    <t>FactorID</t>
  </si>
  <si>
    <t>FactorTableName</t>
  </si>
  <si>
    <t>FactorIndex1</t>
  </si>
  <si>
    <t>FactorIndex2</t>
  </si>
  <si>
    <t>FactorValue</t>
  </si>
  <si>
    <t>GMPFixedRates</t>
  </si>
  <si>
    <t>S148 Rev</t>
  </si>
  <si>
    <t>Fixed Rate</t>
  </si>
  <si>
    <t>Fixed rev</t>
  </si>
  <si>
    <t>PreEQNRAM</t>
  </si>
  <si>
    <t>PreEQNRAF</t>
  </si>
  <si>
    <t>PostEQNRA</t>
  </si>
  <si>
    <t>NRA 60</t>
  </si>
  <si>
    <t>NRA 65</t>
  </si>
  <si>
    <t>(DOL)</t>
  </si>
  <si>
    <t>DateOfEQ (DEQ)</t>
  </si>
  <si>
    <t>DateOfBVG (DBG)</t>
  </si>
  <si>
    <t>DEQ -&gt; DOL</t>
  </si>
  <si>
    <t>DBG -&gt; DEQ</t>
  </si>
  <si>
    <t>(DOJ)</t>
  </si>
  <si>
    <t>DOJ -&gt; DBG</t>
  </si>
  <si>
    <t>Pension Split</t>
  </si>
  <si>
    <t>1st January 1986–31st December 2002</t>
  </si>
  <si>
    <t>1st January 1987–31st December 2002</t>
  </si>
  <si>
    <t>1st January 1988–31st December 2002</t>
  </si>
  <si>
    <t>1st January 1989–31st December 2002</t>
  </si>
  <si>
    <t>1st January 1990–31st December 2002</t>
  </si>
  <si>
    <t>1st January 1991–31st December 2002</t>
  </si>
  <si>
    <t>1st January 1992–31st December 2002</t>
  </si>
  <si>
    <t>1st January 1993–31st December 2002</t>
  </si>
  <si>
    <t>1st January 1994–31st December 2002</t>
  </si>
  <si>
    <t>1st January 1995–31st December 2002</t>
  </si>
  <si>
    <t>1st January 1996–31st December 2002</t>
  </si>
  <si>
    <t>1st January 1997–31st December 2002</t>
  </si>
  <si>
    <t>1st January 1998–31st December 2002</t>
  </si>
  <si>
    <t>1st January 1999–31st December 2002</t>
  </si>
  <si>
    <t>1st January 2000–31st December 2002</t>
  </si>
  <si>
    <t>1st January 2001–31st December 2002</t>
  </si>
  <si>
    <t>1st January 2002–31st December 2002</t>
  </si>
  <si>
    <t>Section52ARates</t>
  </si>
  <si>
    <t>1st January 1986 – 31st December 2016</t>
  </si>
  <si>
    <t>-</t>
  </si>
  <si>
    <t>1st January 1987 – 31st December 2016</t>
  </si>
  <si>
    <t>1st January 1988 – 31st December 2016</t>
  </si>
  <si>
    <t>1st January 1989 – 31st December 2016</t>
  </si>
  <si>
    <t>1st January 1990 – 31st December 2016</t>
  </si>
  <si>
    <t>1st January 1991 – 31st December 2016</t>
  </si>
  <si>
    <t>1st January 1992 – 31st December 2016</t>
  </si>
  <si>
    <t>1st January 1993 – 31st December 2016</t>
  </si>
  <si>
    <t>1st January 1994 – 31st December 2016</t>
  </si>
  <si>
    <t>1st January 1995 – 31st December 2016</t>
  </si>
  <si>
    <t>1st January 1996 – 31st December 2016</t>
  </si>
  <si>
    <t>1st January 1997 – 31st December 2016</t>
  </si>
  <si>
    <t>1st January 1998 – 31st December 2016</t>
  </si>
  <si>
    <t>1st January 1999 – 31st December 2016</t>
  </si>
  <si>
    <t>1st January 2000 – 31st December 2016</t>
  </si>
  <si>
    <t>1st January 2001 – 31st December 2016</t>
  </si>
  <si>
    <t>1st January 2002 – 31st December 2016</t>
  </si>
  <si>
    <t>1st January 2003 – 31st December 2016</t>
  </si>
  <si>
    <t>1st January 2004 – 31st December 2016</t>
  </si>
  <si>
    <t>1st January 2005 – 31st December 2016</t>
  </si>
  <si>
    <t>1st January 2006 – 31st December 2016</t>
  </si>
  <si>
    <t>1st January 2007 – 31st December 2016</t>
  </si>
  <si>
    <t>1st January 2008 – 31st December 2016</t>
  </si>
  <si>
    <t>1st January 2009 – 31st December 2016</t>
  </si>
  <si>
    <t>1st January 2010 – 31st December 2016</t>
  </si>
  <si>
    <t>1st January 2011 – 31st December 2016</t>
  </si>
  <si>
    <t>1st January 2012 – 31st December 2016</t>
  </si>
  <si>
    <t>1st January 2013 – 31st December 2016</t>
  </si>
  <si>
    <t>1st January 2014 – 31st December 2016</t>
  </si>
  <si>
    <t>1st January 2015 – 31st December 2016</t>
  </si>
  <si>
    <t>1st January 2016 – 31st December 2016</t>
  </si>
  <si>
    <t>1st January 1986 - 31st December 2011</t>
  </si>
  <si>
    <t>1st January 1987 - 31st December 2011</t>
  </si>
  <si>
    <t>1st January 1988 - 31st December 2011</t>
  </si>
  <si>
    <t>1st January 1989 - 31st December 2011</t>
  </si>
  <si>
    <t>1st January 1990 - 31st December 2011</t>
  </si>
  <si>
    <t>1st January 1991 - 31st December 2011</t>
  </si>
  <si>
    <t>1st January 1992 - 31st December 2011</t>
  </si>
  <si>
    <t>1st January 1993 - 31st December 2011</t>
  </si>
  <si>
    <t>1st January 1994 - 31st December 2011</t>
  </si>
  <si>
    <t>1st January 1995 - 31st December 2011</t>
  </si>
  <si>
    <t>1st January 1996 - 31st December 2011</t>
  </si>
  <si>
    <t>1st January 1997 - 31st December 2011</t>
  </si>
  <si>
    <t>1st January 1998 - 31st December 2011</t>
  </si>
  <si>
    <t>1st January 1999 - 31st December 2011</t>
  </si>
  <si>
    <t>1st January 2000 - 31st December 2011</t>
  </si>
  <si>
    <t>1st January 2001 - 31st December 2011</t>
  </si>
  <si>
    <t>1st January 2002 - 31st December 2011</t>
  </si>
  <si>
    <t>1st January 2003 - 31st December 2011</t>
  </si>
  <si>
    <t>1st January 2004 - 31st December 2011</t>
  </si>
  <si>
    <t>1st January 2005 - 31st December 2011</t>
  </si>
  <si>
    <t>1st January 2006 - 31st December 2011</t>
  </si>
  <si>
    <t>1st January 2007 - 31st December 2011</t>
  </si>
  <si>
    <t>1st January 2008 - 31st December 2011</t>
  </si>
  <si>
    <t>1st January 2009 - 31st December 2011</t>
  </si>
  <si>
    <t>1st January 2010 - 31st December 2011</t>
  </si>
  <si>
    <t>1st January 2011 - 31st December 2011</t>
  </si>
  <si>
    <t>Section52AFactor</t>
  </si>
  <si>
    <t>GMP Split for Excess</t>
  </si>
  <si>
    <t>DatePost88Start (D88)</t>
  </si>
  <si>
    <t>D88 -&gt; DOL</t>
  </si>
  <si>
    <t>Proportions</t>
  </si>
  <si>
    <t>Post88GMP</t>
  </si>
  <si>
    <t>Pre88GMP</t>
  </si>
  <si>
    <t>Excess Pensions</t>
  </si>
  <si>
    <t>Check</t>
  </si>
  <si>
    <t>Revalued to</t>
  </si>
  <si>
    <t>1. EstPenLow</t>
  </si>
  <si>
    <t>2. EstPenMed</t>
  </si>
  <si>
    <t>3. EstPenHigh</t>
  </si>
  <si>
    <t>Case</t>
  </si>
  <si>
    <t>Factor</t>
  </si>
  <si>
    <t>Excess PIP</t>
  </si>
  <si>
    <t>TaxYear</t>
  </si>
  <si>
    <t>Start Pensions</t>
  </si>
  <si>
    <t>NRA60XS</t>
  </si>
  <si>
    <t>NRA65XS</t>
  </si>
  <si>
    <t>GMPRev</t>
  </si>
  <si>
    <t>Fixed</t>
  </si>
  <si>
    <t>Pre88RGMP</t>
  </si>
  <si>
    <t>Post88RGMP</t>
  </si>
  <si>
    <t>Base Pension Incs</t>
  </si>
  <si>
    <t>Excess</t>
  </si>
  <si>
    <t>TaxYearGMP</t>
  </si>
  <si>
    <t>FuturePIPincs</t>
  </si>
  <si>
    <t>Pension Paid</t>
  </si>
  <si>
    <t>GMP Split for Equalisation</t>
  </si>
  <si>
    <t>(DCE)</t>
  </si>
  <si>
    <t>D88 -&gt; DCE</t>
  </si>
  <si>
    <t>DBG -&gt; DCE</t>
  </si>
  <si>
    <t>Post88GMPRestated</t>
  </si>
  <si>
    <t>DateOfBirth</t>
  </si>
  <si>
    <t>DateOfCalculation</t>
  </si>
  <si>
    <t>CbnsTye79</t>
  </si>
  <si>
    <t>CbnsTye80</t>
  </si>
  <si>
    <t>CbnsTye81</t>
  </si>
  <si>
    <t>CbnsTye82</t>
  </si>
  <si>
    <t>CbnsTye83</t>
  </si>
  <si>
    <t>CbnsTye84</t>
  </si>
  <si>
    <t>CbnsTye85</t>
  </si>
  <si>
    <t>CbnsTye86</t>
  </si>
  <si>
    <t>GMPPre88DOL</t>
  </si>
  <si>
    <t>GMPPost88DOL</t>
  </si>
  <si>
    <t>GMPTotalDOL</t>
  </si>
  <si>
    <t>MaleNRAExcess</t>
  </si>
  <si>
    <t>FemaleNRAExcess</t>
  </si>
  <si>
    <t>GMPRevMethod</t>
  </si>
  <si>
    <t>GMPPre88Rev</t>
  </si>
  <si>
    <t>GMPPost88Rev</t>
  </si>
  <si>
    <t>GMPTotalRev</t>
  </si>
  <si>
    <t>GMPPre88Calc</t>
  </si>
  <si>
    <t>GMPPost88Calc</t>
  </si>
  <si>
    <t>GMPTotalCalc</t>
  </si>
  <si>
    <t>Section148</t>
  </si>
  <si>
    <t>FixedRate</t>
  </si>
  <si>
    <t>Gov early leaver GMP example A S148</t>
  </si>
  <si>
    <t>Gov early leaver GMP example A Fixed</t>
  </si>
  <si>
    <t>Scheme</t>
  </si>
  <si>
    <t>PIPIncPublicSector</t>
  </si>
  <si>
    <t>PIPIncLPI3</t>
  </si>
  <si>
    <t>PIPIncLPI5</t>
  </si>
  <si>
    <t>DiscountRateABI</t>
  </si>
  <si>
    <t>F</t>
  </si>
  <si>
    <t>Case 3 in TestGroup1 created 24-Feb-22 08:51:22</t>
  </si>
  <si>
    <t>Case 4 in TestGroup1 created 24-Feb-22 08:51:22</t>
  </si>
  <si>
    <t>Case 5 in TestGroup1 created 24-Feb-22 08:51:22</t>
  </si>
  <si>
    <t>Case 6 in TestGroup1 created 24-Feb-22 08:51:22</t>
  </si>
  <si>
    <t>Case 7 in TestGroup1 created 24-Feb-22 08:51:22</t>
  </si>
  <si>
    <t>Case 8 in TestGroup1 created 24-Feb-22 08:51:22</t>
  </si>
  <si>
    <t>Case 9 in TestGroup1 created 24-Feb-22 08:51:22</t>
  </si>
  <si>
    <t>Case 10 in TestGroup1 created 24-Feb-22 08:51:22</t>
  </si>
  <si>
    <t>4.Actual</t>
  </si>
  <si>
    <t>All post 90 leave 60 Male no excess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</si>
</sst>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dd/mm/yyyy;;"/>
    <numFmt numFmtId="165" formatCode="_-* #,##0.0_-;\-* #,##0.0_-;_-* &quot;-&quot;??_-;_-@_-"/>
    <numFmt numFmtId="166" formatCode="_-* #,##0_-;\-* #,##0_-;_-* &quot;-&quot;??_-;_-@_-"/>
    <numFmt numFmtId="167" formatCode="_-* #,##0.0000_-;\-* #,##0.0000_-;_-* &quot;-&quot;??_-;_-@_-"/>
    <numFmt numFmtId="168" formatCode="_-* #,##0.000_-;\-* #,##0.000_-;_-* &quot;-&quot;??_-;_-@_-"/>
    <numFmt numFmtId="169" formatCode="_-* #,##0_-;\-* #,##0_-;_-* &quot;-&quot;?_-;_-@_-"/>
    <numFmt numFmtId="170" formatCode="0.0000"/>
    <numFmt numFmtId="171" formatCode="0.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.8000000000000007"/>
      <color rgb="FF494949"/>
      <name val="Arial"/>
      <family val="2"/>
    </font>
    <font>
      <i/>
      <sz val="8.8000000000000007"/>
      <color rgb="FF000000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34">
    <xf numFmtId="0" fontId="0" fillId="0" borderId="0" xfId="0"/>
    <xf numFmtId="0" fontId="2" fillId="0" borderId="0" xfId="3"/>
    <xf numFmtId="0" fontId="3" fillId="2" borderId="0" xfId="0" applyFont="1" applyFill="1" applyAlignment="1">
      <alignment horizontal="left" vertical="top" wrapText="1"/>
    </xf>
    <xf numFmtId="0" fontId="4" fillId="2" borderId="0" xfId="0" applyFont="1" applyFill="1" applyAlignment="1">
      <alignment horizontal="left" vertical="top" wrapText="1"/>
    </xf>
    <xf numFmtId="14" fontId="0" fillId="0" borderId="0" xfId="0" applyNumberFormat="1"/>
    <xf numFmtId="0" fontId="0" fillId="3" borderId="0" xfId="0" applyFill="1"/>
    <xf numFmtId="164" fontId="0" fillId="0" borderId="0" xfId="0" applyNumberFormat="1"/>
    <xf numFmtId="0" fontId="0" fillId="0" borderId="0" xfId="0" applyAlignment="1">
      <alignment horizontal="center"/>
    </xf>
    <xf numFmtId="10" fontId="0" fillId="0" borderId="0" xfId="2" applyNumberFormat="1" applyFont="1"/>
    <xf numFmtId="1" fontId="0" fillId="0" borderId="0" xfId="0" applyNumberFormat="1"/>
    <xf numFmtId="166" fontId="0" fillId="0" borderId="0" xfId="1" applyNumberFormat="1" applyFont="1" applyAlignment="1">
      <alignment horizontal="center"/>
    </xf>
    <xf numFmtId="165" fontId="0" fillId="0" borderId="0" xfId="1" applyNumberFormat="1" applyFont="1" applyAlignment="1">
      <alignment horizontal="center"/>
    </xf>
    <xf numFmtId="9" fontId="0" fillId="0" borderId="0" xfId="0" applyNumberFormat="1" applyAlignment="1">
      <alignment horizontal="center"/>
    </xf>
    <xf numFmtId="43" fontId="0" fillId="0" borderId="0" xfId="0" applyNumberFormat="1"/>
    <xf numFmtId="167" fontId="0" fillId="0" borderId="0" xfId="0" applyNumberFormat="1"/>
    <xf numFmtId="0" fontId="3" fillId="2" borderId="0" xfId="0" applyFont="1" applyFill="1" applyAlignment="1">
      <alignment horizontal="center" vertical="top" wrapText="1"/>
    </xf>
    <xf numFmtId="166" fontId="0" fillId="0" borderId="0" xfId="0" applyNumberFormat="1"/>
    <xf numFmtId="168" fontId="0" fillId="0" borderId="0" xfId="0" applyNumberFormat="1"/>
    <xf numFmtId="0" fontId="0" fillId="0" borderId="0" xfId="0" applyAlignment="1">
      <alignment horizontal="right"/>
    </xf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1" fontId="0" fillId="0" borderId="0" xfId="0" applyNumberFormat="1" applyAlignment="1">
      <alignment horizontal="center"/>
    </xf>
    <xf numFmtId="43" fontId="0" fillId="0" borderId="0" xfId="0" applyNumberFormat="1" applyAlignment="1">
      <alignment horizontal="center"/>
    </xf>
    <xf numFmtId="10" fontId="0" fillId="0" borderId="0" xfId="0" applyNumberFormat="1"/>
    <xf numFmtId="14" fontId="0" fillId="0" borderId="0" xfId="0" applyNumberFormat="1" applyAlignment="1">
      <alignment horizontal="center"/>
    </xf>
    <xf numFmtId="10" fontId="0" fillId="0" borderId="0" xfId="2" applyNumberFormat="1" applyFont="1" applyAlignment="1">
      <alignment horizontal="center"/>
    </xf>
    <xf numFmtId="10" fontId="0" fillId="0" borderId="0" xfId="0" applyNumberFormat="1" applyAlignment="1">
      <alignment horizontal="center"/>
    </xf>
    <xf numFmtId="43" fontId="0" fillId="0" borderId="0" xfId="0" applyNumberFormat="1" applyAlignment="1">
      <alignment horizontal="right"/>
    </xf>
    <xf numFmtId="43" fontId="0" fillId="0" borderId="0" xfId="1" applyFont="1"/>
    <xf numFmtId="0" fontId="0" fillId="0" borderId="1" xfId="0" applyBorder="1" applyAlignment="1">
      <alignment horizontal="center"/>
    </xf>
    <xf numFmtId="15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d.docs.live.net/5e9dfab844b8f43e/Projects/GMPEqualisation/EarningsFactorOrder2015.pdf" TargetMode="External"/><Relationship Id="rId3" Type="http://schemas.openxmlformats.org/officeDocument/2006/relationships/hyperlink" Target="https://www.legislation.gov.uk/uksi/2020/193/made" TargetMode="External"/><Relationship Id="rId7" Type="http://schemas.openxmlformats.org/officeDocument/2006/relationships/hyperlink" Target="https://www.legislation.gov.uk/uksi/2015/187/schedule/made" TargetMode="External"/><Relationship Id="rId2" Type="http://schemas.openxmlformats.org/officeDocument/2006/relationships/hyperlink" Target="https://d.docs.live.net/5e9dfab844b8f43e/Projects/GMPEqualisation/EarningsFactorOrder1991.pdf" TargetMode="External"/><Relationship Id="rId1" Type="http://schemas.openxmlformats.org/officeDocument/2006/relationships/hyperlink" Target="https://www.legislation.gov.uk/uksi/1991/1108/schedule/made" TargetMode="External"/><Relationship Id="rId6" Type="http://schemas.openxmlformats.org/officeDocument/2006/relationships/hyperlink" Target="https://d.docs.live.net/5e9dfab844b8f43e/Projects/GMPEqualisation/EarningsFactorOrder2002.pdf" TargetMode="External"/><Relationship Id="rId5" Type="http://schemas.openxmlformats.org/officeDocument/2006/relationships/hyperlink" Target="https://www.legislation.gov.uk/uksi/2002/519/schedule/made" TargetMode="External"/><Relationship Id="rId10" Type="http://schemas.openxmlformats.org/officeDocument/2006/relationships/hyperlink" Target="https://d.docs.live.net/5e9dfab844b8f43e/Projects/GMPEqualisation/EarningsFactorOrder2010.pdf" TargetMode="External"/><Relationship Id="rId4" Type="http://schemas.openxmlformats.org/officeDocument/2006/relationships/hyperlink" Target="https://d.docs.live.net/5e9dfab844b8f43e/Projects/GMPEqualisation/EarningsFactorOrder2020.pdf" TargetMode="External"/><Relationship Id="rId9" Type="http://schemas.openxmlformats.org/officeDocument/2006/relationships/hyperlink" Target="https://www.legislation.gov.uk/uksi/2010/470/schedule/made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4"/>
  <sheetViews>
    <sheetView topLeftCell="C1" workbookViewId="0">
      <selection activeCell="P5" sqref="P5"/>
    </sheetView>
    <sheetView tabSelected="1" topLeftCell="AI1" workbookViewId="1">
      <selection activeCell="AB5" sqref="AB5"/>
    </sheetView>
  </sheetViews>
  <sheetFormatPr defaultRowHeight="14.5" x14ac:dyDescent="0.35"/>
  <cols>
    <col min="1" max="1" width="6.36328125" bestFit="1" customWidth="1"/>
    <col min="2" max="2" width="36.6328125" customWidth="1"/>
    <col min="3" max="3" width="3.54296875" bestFit="1" customWidth="1"/>
    <col min="4" max="4" width="10.453125" bestFit="1" customWidth="1"/>
    <col min="5" max="5" width="10.81640625" bestFit="1" customWidth="1"/>
    <col min="6" max="6" width="10.1796875" bestFit="1" customWidth="1"/>
    <col min="7" max="7" width="12.6328125" bestFit="1" customWidth="1"/>
    <col min="8" max="9" width="15.7265625" bestFit="1" customWidth="1"/>
    <col min="10" max="10" width="15.6328125" bestFit="1" customWidth="1"/>
    <col min="11" max="19" width="9.6328125" bestFit="1" customWidth="1"/>
    <col min="20" max="29" width="7.6328125" bestFit="1" customWidth="1"/>
    <col min="30" max="30" width="12.81640625" bestFit="1" customWidth="1"/>
    <col min="31" max="31" width="13.6328125" bestFit="1" customWidth="1"/>
    <col min="32" max="32" width="12.08984375" bestFit="1" customWidth="1"/>
    <col min="33" max="33" width="13.6328125" bestFit="1" customWidth="1"/>
    <col min="34" max="34" width="15.453125" bestFit="1" customWidth="1"/>
    <col min="35" max="35" width="14.1796875" bestFit="1" customWidth="1"/>
    <col min="36" max="36" width="12.26953125" bestFit="1" customWidth="1"/>
    <col min="37" max="37" width="13.08984375" bestFit="1" customWidth="1"/>
    <col min="38" max="38" width="11.7265625" bestFit="1" customWidth="1"/>
    <col min="39" max="39" width="12.6328125" bestFit="1" customWidth="1"/>
    <col min="40" max="40" width="13.453125" bestFit="1" customWidth="1"/>
    <col min="41" max="41" width="12.08984375" bestFit="1" customWidth="1"/>
  </cols>
  <sheetData>
    <row r="1" spans="1:41" x14ac:dyDescent="0.3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  <c r="AE1">
        <v>31</v>
      </c>
      <c r="AF1">
        <v>32</v>
      </c>
      <c r="AG1">
        <v>33</v>
      </c>
      <c r="AH1">
        <v>34</v>
      </c>
      <c r="AI1">
        <v>35</v>
      </c>
      <c r="AJ1">
        <v>36</v>
      </c>
      <c r="AK1">
        <v>37</v>
      </c>
      <c r="AL1">
        <v>38</v>
      </c>
      <c r="AM1">
        <v>39</v>
      </c>
      <c r="AN1">
        <v>40</v>
      </c>
      <c r="AO1">
        <v>41</v>
      </c>
    </row>
    <row r="2" spans="1:41" x14ac:dyDescent="0.35">
      <c r="A2" t="s">
        <v>51</v>
      </c>
      <c r="B2" t="s">
        <v>52</v>
      </c>
      <c r="C2" t="s">
        <v>53</v>
      </c>
      <c r="D2" t="s">
        <v>302</v>
      </c>
      <c r="E2" t="s">
        <v>55</v>
      </c>
      <c r="F2" t="s">
        <v>56</v>
      </c>
      <c r="G2" t="s">
        <v>57</v>
      </c>
      <c r="H2" t="s">
        <v>58</v>
      </c>
      <c r="I2" t="s">
        <v>59</v>
      </c>
      <c r="J2" t="s">
        <v>303</v>
      </c>
      <c r="K2" t="s">
        <v>304</v>
      </c>
      <c r="L2" t="s">
        <v>305</v>
      </c>
      <c r="M2" t="s">
        <v>306</v>
      </c>
      <c r="N2" t="s">
        <v>307</v>
      </c>
      <c r="O2" t="s">
        <v>308</v>
      </c>
      <c r="P2" t="s">
        <v>309</v>
      </c>
      <c r="Q2" t="s">
        <v>310</v>
      </c>
      <c r="R2" t="s">
        <v>311</v>
      </c>
      <c r="S2" t="s">
        <v>61</v>
      </c>
      <c r="T2" t="s">
        <v>60</v>
      </c>
      <c r="U2" t="s">
        <v>62</v>
      </c>
      <c r="V2" t="s">
        <v>63</v>
      </c>
      <c r="W2" t="s">
        <v>64</v>
      </c>
      <c r="X2" t="s">
        <v>73</v>
      </c>
      <c r="Y2" t="s">
        <v>74</v>
      </c>
      <c r="Z2" t="s">
        <v>75</v>
      </c>
      <c r="AA2" t="s">
        <v>76</v>
      </c>
      <c r="AB2" t="s">
        <v>77</v>
      </c>
      <c r="AC2" t="s">
        <v>78</v>
      </c>
      <c r="AD2" t="s">
        <v>312</v>
      </c>
      <c r="AE2" t="s">
        <v>313</v>
      </c>
      <c r="AF2" t="s">
        <v>314</v>
      </c>
      <c r="AG2" t="s">
        <v>315</v>
      </c>
      <c r="AH2" t="s">
        <v>316</v>
      </c>
      <c r="AI2" t="s">
        <v>317</v>
      </c>
      <c r="AJ2" t="s">
        <v>318</v>
      </c>
      <c r="AK2" t="s">
        <v>319</v>
      </c>
      <c r="AL2" t="s">
        <v>320</v>
      </c>
      <c r="AM2" t="s">
        <v>321</v>
      </c>
      <c r="AN2" t="s">
        <v>322</v>
      </c>
      <c r="AO2" t="s">
        <v>323</v>
      </c>
    </row>
    <row r="3" spans="1:41" x14ac:dyDescent="0.35">
      <c r="A3">
        <v>1</v>
      </c>
      <c r="B3" t="s">
        <v>326</v>
      </c>
      <c r="C3" t="s">
        <v>54</v>
      </c>
      <c r="D3" s="4">
        <v>18991</v>
      </c>
      <c r="E3" s="4">
        <v>31508</v>
      </c>
      <c r="F3" s="4">
        <v>37570</v>
      </c>
      <c r="G3" s="4">
        <v>37570</v>
      </c>
      <c r="H3" s="4">
        <v>42733</v>
      </c>
      <c r="I3" s="4"/>
      <c r="S3">
        <v>544.66</v>
      </c>
      <c r="T3">
        <v>11024</v>
      </c>
      <c r="U3">
        <v>12204</v>
      </c>
      <c r="V3">
        <v>10586</v>
      </c>
      <c r="W3">
        <v>16112</v>
      </c>
      <c r="X3">
        <v>17407</v>
      </c>
      <c r="Y3">
        <v>18233</v>
      </c>
      <c r="Z3">
        <v>18985</v>
      </c>
      <c r="AA3">
        <v>19643</v>
      </c>
      <c r="AB3">
        <v>20329</v>
      </c>
      <c r="AC3">
        <v>21100</v>
      </c>
      <c r="AD3">
        <v>0</v>
      </c>
      <c r="AE3">
        <v>0</v>
      </c>
      <c r="AF3">
        <v>0</v>
      </c>
      <c r="AI3" t="s">
        <v>324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</row>
    <row r="4" spans="1:41" x14ac:dyDescent="0.35">
      <c r="A4">
        <v>2</v>
      </c>
      <c r="B4" t="s">
        <v>327</v>
      </c>
      <c r="C4" t="s">
        <v>54</v>
      </c>
      <c r="D4" s="4">
        <v>18991</v>
      </c>
      <c r="E4" s="4">
        <v>31508</v>
      </c>
      <c r="F4" s="4">
        <v>37570</v>
      </c>
      <c r="G4" s="4">
        <v>37570</v>
      </c>
      <c r="H4" s="4">
        <v>42733</v>
      </c>
      <c r="I4" s="4"/>
      <c r="S4">
        <v>544.66</v>
      </c>
      <c r="T4">
        <v>11024</v>
      </c>
      <c r="U4">
        <v>12204</v>
      </c>
      <c r="V4">
        <v>10586</v>
      </c>
      <c r="W4">
        <v>16112</v>
      </c>
      <c r="X4">
        <v>17407</v>
      </c>
      <c r="Y4">
        <v>18233</v>
      </c>
      <c r="Z4">
        <v>18985</v>
      </c>
      <c r="AA4">
        <v>19643</v>
      </c>
      <c r="AB4">
        <v>20329</v>
      </c>
      <c r="AC4">
        <v>21100</v>
      </c>
      <c r="AD4">
        <v>0</v>
      </c>
      <c r="AE4">
        <v>0</v>
      </c>
      <c r="AF4">
        <v>0</v>
      </c>
      <c r="AI4" t="s">
        <v>325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</row>
    <row r="5" spans="1:41" x14ac:dyDescent="0.35">
      <c r="A5">
        <v>3</v>
      </c>
      <c r="B5" t="s">
        <v>343</v>
      </c>
      <c r="C5" t="s">
        <v>54</v>
      </c>
      <c r="D5" s="4">
        <v>15655</v>
      </c>
      <c r="E5" s="4">
        <v>33030</v>
      </c>
      <c r="F5" s="4">
        <v>33785</v>
      </c>
      <c r="G5" s="4">
        <v>33785</v>
      </c>
      <c r="H5" s="4">
        <v>39396</v>
      </c>
      <c r="I5" s="4"/>
      <c r="S5">
        <v>0</v>
      </c>
      <c r="T5">
        <v>0</v>
      </c>
      <c r="U5">
        <v>0</v>
      </c>
      <c r="V5">
        <v>0</v>
      </c>
      <c r="W5">
        <v>15000</v>
      </c>
      <c r="X5">
        <v>17407</v>
      </c>
      <c r="Y5">
        <v>3000</v>
      </c>
      <c r="Z5">
        <v>0</v>
      </c>
      <c r="AA5">
        <v>0</v>
      </c>
      <c r="AB5">
        <v>0</v>
      </c>
      <c r="AC5">
        <v>0</v>
      </c>
      <c r="AD5">
        <v>1359.28</v>
      </c>
      <c r="AE5">
        <v>1794</v>
      </c>
      <c r="AF5">
        <v>3153.28</v>
      </c>
      <c r="AG5">
        <v>507.53</v>
      </c>
      <c r="AH5">
        <v>136.06</v>
      </c>
      <c r="AI5" t="s">
        <v>324</v>
      </c>
      <c r="AJ5">
        <v>4603</v>
      </c>
      <c r="AK5">
        <v>6075.12</v>
      </c>
      <c r="AL5">
        <v>10678.13</v>
      </c>
      <c r="AM5">
        <v>2981.14</v>
      </c>
      <c r="AN5">
        <v>3934.56</v>
      </c>
      <c r="AO5">
        <v>6915.7</v>
      </c>
    </row>
    <row r="6" spans="1:41" x14ac:dyDescent="0.35">
      <c r="A6">
        <v>4</v>
      </c>
      <c r="B6" t="s">
        <v>327</v>
      </c>
      <c r="C6" t="s">
        <v>54</v>
      </c>
      <c r="D6" s="4">
        <v>18991</v>
      </c>
      <c r="E6" s="4">
        <v>31508</v>
      </c>
      <c r="F6" s="4">
        <v>37570</v>
      </c>
      <c r="G6" s="4">
        <v>37570</v>
      </c>
      <c r="H6" s="4">
        <v>42733</v>
      </c>
      <c r="I6" s="4"/>
      <c r="S6">
        <v>544.66</v>
      </c>
      <c r="T6">
        <v>11024</v>
      </c>
      <c r="U6">
        <v>12204</v>
      </c>
      <c r="V6">
        <v>10586</v>
      </c>
      <c r="W6">
        <v>16112</v>
      </c>
      <c r="X6">
        <v>17407</v>
      </c>
      <c r="Y6">
        <v>18233</v>
      </c>
      <c r="Z6">
        <v>18985</v>
      </c>
      <c r="AA6">
        <v>19643</v>
      </c>
      <c r="AB6">
        <v>20329</v>
      </c>
      <c r="AC6">
        <v>21100</v>
      </c>
      <c r="AD6">
        <v>1939.08</v>
      </c>
      <c r="AE6">
        <v>1337.44</v>
      </c>
      <c r="AF6">
        <v>3276.52</v>
      </c>
      <c r="AG6">
        <v>0</v>
      </c>
      <c r="AH6">
        <v>251.11</v>
      </c>
      <c r="AI6" t="s">
        <v>324</v>
      </c>
      <c r="AJ6">
        <v>3839.25</v>
      </c>
      <c r="AK6">
        <v>2648.04</v>
      </c>
      <c r="AL6">
        <v>6487.29</v>
      </c>
      <c r="AM6">
        <v>2889.16</v>
      </c>
      <c r="AN6">
        <v>1992.74</v>
      </c>
      <c r="AO6">
        <v>4881.8999999999996</v>
      </c>
    </row>
    <row r="7" spans="1:41" x14ac:dyDescent="0.35">
      <c r="A7">
        <v>5</v>
      </c>
      <c r="B7" t="s">
        <v>334</v>
      </c>
      <c r="C7" t="s">
        <v>54</v>
      </c>
      <c r="D7" s="31">
        <v>25472</v>
      </c>
      <c r="E7" s="31">
        <v>35475</v>
      </c>
      <c r="F7" s="31">
        <v>42466</v>
      </c>
      <c r="G7" s="31">
        <v>43530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2276.94</v>
      </c>
      <c r="AD7">
        <v>0</v>
      </c>
      <c r="AE7">
        <v>2182.44</v>
      </c>
      <c r="AF7">
        <v>2182.44</v>
      </c>
      <c r="AG7">
        <v>18.97</v>
      </c>
      <c r="AH7">
        <v>0</v>
      </c>
      <c r="AI7" t="s">
        <v>324</v>
      </c>
      <c r="AJ7">
        <v>0</v>
      </c>
      <c r="AK7">
        <v>4115.32</v>
      </c>
      <c r="AL7">
        <v>4115.32</v>
      </c>
      <c r="AM7">
        <v>0</v>
      </c>
      <c r="AN7">
        <v>3148.88</v>
      </c>
      <c r="AO7">
        <v>3148.88</v>
      </c>
    </row>
    <row r="8" spans="1:41" x14ac:dyDescent="0.35">
      <c r="A8">
        <v>6</v>
      </c>
      <c r="B8" t="s">
        <v>335</v>
      </c>
      <c r="C8" t="s">
        <v>54</v>
      </c>
      <c r="D8" s="31">
        <v>12117</v>
      </c>
      <c r="E8" s="31">
        <v>30469</v>
      </c>
      <c r="F8" s="31">
        <v>38323</v>
      </c>
      <c r="G8" s="31">
        <v>38323</v>
      </c>
      <c r="K8">
        <v>0</v>
      </c>
      <c r="L8">
        <v>0</v>
      </c>
      <c r="M8">
        <v>0</v>
      </c>
      <c r="N8">
        <v>0</v>
      </c>
      <c r="O8">
        <v>0</v>
      </c>
      <c r="P8">
        <v>368.35</v>
      </c>
      <c r="Q8">
        <v>377.68</v>
      </c>
      <c r="R8">
        <v>171.76</v>
      </c>
      <c r="S8">
        <v>503.97</v>
      </c>
      <c r="T8">
        <v>13300.9</v>
      </c>
      <c r="U8">
        <v>12840.14</v>
      </c>
      <c r="V8">
        <v>83.53</v>
      </c>
      <c r="W8">
        <v>15277.34</v>
      </c>
      <c r="X8">
        <v>13144.88</v>
      </c>
      <c r="Y8">
        <v>6799.59</v>
      </c>
      <c r="Z8">
        <v>12860.9</v>
      </c>
      <c r="AA8">
        <v>7187.17</v>
      </c>
      <c r="AB8">
        <v>5838.79</v>
      </c>
      <c r="AC8">
        <v>12635.8</v>
      </c>
      <c r="AD8">
        <v>1518.92</v>
      </c>
      <c r="AE8">
        <v>2096.12</v>
      </c>
      <c r="AF8">
        <v>3615.04</v>
      </c>
      <c r="AG8">
        <v>607.38</v>
      </c>
      <c r="AH8">
        <v>237.55</v>
      </c>
      <c r="AI8" t="s">
        <v>324</v>
      </c>
      <c r="AJ8">
        <v>1518.92</v>
      </c>
      <c r="AK8">
        <v>2096.12</v>
      </c>
      <c r="AL8">
        <v>3615.04</v>
      </c>
      <c r="AM8">
        <v>1518.92</v>
      </c>
      <c r="AN8">
        <v>2096.12</v>
      </c>
      <c r="AO8">
        <v>3615.04</v>
      </c>
    </row>
    <row r="9" spans="1:41" x14ac:dyDescent="0.35">
      <c r="A9">
        <v>7</v>
      </c>
      <c r="B9" t="s">
        <v>336</v>
      </c>
      <c r="C9" t="s">
        <v>333</v>
      </c>
      <c r="D9" s="31">
        <v>20341</v>
      </c>
      <c r="E9" s="31">
        <v>34190</v>
      </c>
      <c r="F9" s="31">
        <v>36565</v>
      </c>
      <c r="G9" s="31">
        <v>36565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299.44</v>
      </c>
      <c r="AA9">
        <v>18514.2</v>
      </c>
      <c r="AB9">
        <v>13670.06</v>
      </c>
      <c r="AC9">
        <v>747.16</v>
      </c>
      <c r="AD9">
        <v>0</v>
      </c>
      <c r="AE9">
        <v>547.55999999999995</v>
      </c>
      <c r="AF9">
        <v>547.55999999999995</v>
      </c>
      <c r="AG9">
        <v>276.92</v>
      </c>
      <c r="AH9">
        <v>0</v>
      </c>
      <c r="AI9" t="s">
        <v>324</v>
      </c>
      <c r="AJ9">
        <v>0</v>
      </c>
      <c r="AK9">
        <v>1317.77</v>
      </c>
      <c r="AL9">
        <v>1317.77</v>
      </c>
      <c r="AM9">
        <v>0</v>
      </c>
      <c r="AN9">
        <v>932.66</v>
      </c>
      <c r="AO9">
        <v>932.66</v>
      </c>
    </row>
    <row r="10" spans="1:41" x14ac:dyDescent="0.35">
      <c r="A10">
        <v>8</v>
      </c>
      <c r="B10" t="s">
        <v>337</v>
      </c>
      <c r="C10" t="s">
        <v>54</v>
      </c>
      <c r="D10" s="31">
        <v>22058</v>
      </c>
      <c r="E10" s="31">
        <v>33244</v>
      </c>
      <c r="F10" s="31">
        <v>36805</v>
      </c>
      <c r="G10" s="31">
        <v>36805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6366.51</v>
      </c>
      <c r="X10">
        <v>1344.85</v>
      </c>
      <c r="Y10">
        <v>152.16999999999999</v>
      </c>
      <c r="Z10">
        <v>15790.38</v>
      </c>
      <c r="AA10">
        <v>11162.96</v>
      </c>
      <c r="AB10">
        <v>3348.37</v>
      </c>
      <c r="AC10">
        <v>20329.2</v>
      </c>
      <c r="AD10">
        <v>0</v>
      </c>
      <c r="AE10">
        <v>1314.56</v>
      </c>
      <c r="AF10">
        <v>1314.56</v>
      </c>
      <c r="AG10">
        <v>423.19</v>
      </c>
      <c r="AH10">
        <v>64.260000000000005</v>
      </c>
      <c r="AI10" t="s">
        <v>324</v>
      </c>
      <c r="AJ10">
        <v>0</v>
      </c>
      <c r="AK10">
        <v>4037.7</v>
      </c>
      <c r="AL10">
        <v>4037.7</v>
      </c>
      <c r="AM10">
        <v>0</v>
      </c>
      <c r="AN10">
        <v>2676.13</v>
      </c>
      <c r="AO10">
        <v>2676.13</v>
      </c>
    </row>
    <row r="11" spans="1:41" x14ac:dyDescent="0.35">
      <c r="A11">
        <v>9</v>
      </c>
      <c r="B11" t="s">
        <v>338</v>
      </c>
      <c r="C11" t="s">
        <v>333</v>
      </c>
      <c r="D11" s="31">
        <v>16367</v>
      </c>
      <c r="E11" s="31">
        <v>33931</v>
      </c>
      <c r="F11" s="31">
        <v>38587</v>
      </c>
      <c r="G11" s="31">
        <v>38587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16724.759999999998</v>
      </c>
      <c r="Z11">
        <v>12847.24</v>
      </c>
      <c r="AA11">
        <v>621.41</v>
      </c>
      <c r="AB11">
        <v>2870.04</v>
      </c>
      <c r="AC11">
        <v>15976.92</v>
      </c>
      <c r="AD11">
        <v>0</v>
      </c>
      <c r="AE11">
        <v>2166.84</v>
      </c>
      <c r="AF11">
        <v>2166.84</v>
      </c>
      <c r="AG11">
        <v>408.67</v>
      </c>
      <c r="AH11">
        <v>0</v>
      </c>
      <c r="AI11" t="s">
        <v>324</v>
      </c>
      <c r="AJ11">
        <v>0</v>
      </c>
      <c r="AK11">
        <v>2388.94</v>
      </c>
      <c r="AL11">
        <v>2388.94</v>
      </c>
      <c r="AM11">
        <v>0</v>
      </c>
      <c r="AN11">
        <v>2277.89</v>
      </c>
      <c r="AO11">
        <v>2277.89</v>
      </c>
    </row>
    <row r="12" spans="1:41" x14ac:dyDescent="0.35">
      <c r="A12">
        <v>10</v>
      </c>
      <c r="B12" t="s">
        <v>339</v>
      </c>
      <c r="C12" t="s">
        <v>54</v>
      </c>
      <c r="D12" s="31">
        <v>15864</v>
      </c>
      <c r="E12" s="31">
        <v>29644</v>
      </c>
      <c r="F12" s="31">
        <v>30037</v>
      </c>
      <c r="G12" s="31">
        <v>30037</v>
      </c>
      <c r="K12">
        <v>0</v>
      </c>
      <c r="L12">
        <v>0</v>
      </c>
      <c r="M12">
        <v>78.209999999999994</v>
      </c>
      <c r="N12">
        <v>164.09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187.72</v>
      </c>
      <c r="AE12">
        <v>0</v>
      </c>
      <c r="AF12">
        <v>187.72</v>
      </c>
      <c r="AG12">
        <v>2.02</v>
      </c>
      <c r="AH12">
        <v>0</v>
      </c>
      <c r="AI12" t="s">
        <v>324</v>
      </c>
      <c r="AJ12">
        <v>605.41999999999996</v>
      </c>
      <c r="AK12">
        <v>0</v>
      </c>
      <c r="AL12">
        <v>605.41999999999996</v>
      </c>
      <c r="AM12">
        <v>396.57</v>
      </c>
      <c r="AN12">
        <v>0</v>
      </c>
      <c r="AO12">
        <v>396.57</v>
      </c>
    </row>
    <row r="13" spans="1:41" x14ac:dyDescent="0.35">
      <c r="A13">
        <v>11</v>
      </c>
      <c r="B13" t="s">
        <v>340</v>
      </c>
      <c r="C13" t="s">
        <v>54</v>
      </c>
      <c r="D13" s="31">
        <v>20082</v>
      </c>
      <c r="E13" s="31">
        <v>30701</v>
      </c>
      <c r="F13" s="31">
        <v>38492</v>
      </c>
      <c r="G13" s="31">
        <v>38492</v>
      </c>
      <c r="K13">
        <v>0</v>
      </c>
      <c r="L13">
        <v>0</v>
      </c>
      <c r="M13">
        <v>0</v>
      </c>
      <c r="N13">
        <v>0</v>
      </c>
      <c r="O13">
        <v>0</v>
      </c>
      <c r="P13">
        <v>322.2</v>
      </c>
      <c r="Q13">
        <v>641.38</v>
      </c>
      <c r="R13">
        <v>744.47</v>
      </c>
      <c r="S13">
        <v>833.66</v>
      </c>
      <c r="T13">
        <v>6488.86</v>
      </c>
      <c r="U13">
        <v>9592.9</v>
      </c>
      <c r="V13">
        <v>9997.8799999999992</v>
      </c>
      <c r="W13">
        <v>11677.98</v>
      </c>
      <c r="X13">
        <v>2949.53</v>
      </c>
      <c r="Y13">
        <v>8192.41</v>
      </c>
      <c r="Z13">
        <v>2654.8</v>
      </c>
      <c r="AA13">
        <v>12864.01</v>
      </c>
      <c r="AB13">
        <v>1585.97</v>
      </c>
      <c r="AC13">
        <v>17657.77</v>
      </c>
      <c r="AD13">
        <v>167.44</v>
      </c>
      <c r="AE13">
        <v>1007.76</v>
      </c>
      <c r="AF13">
        <v>1175.2</v>
      </c>
      <c r="AG13">
        <v>513.15</v>
      </c>
      <c r="AH13">
        <v>205.21</v>
      </c>
      <c r="AI13" t="s">
        <v>324</v>
      </c>
      <c r="AJ13">
        <v>300.7</v>
      </c>
      <c r="AK13">
        <v>1809.79</v>
      </c>
      <c r="AL13">
        <v>2110.4899999999998</v>
      </c>
      <c r="AM13">
        <v>234.07</v>
      </c>
      <c r="AN13">
        <v>1408.78</v>
      </c>
      <c r="AO13">
        <v>1642.85</v>
      </c>
    </row>
    <row r="14" spans="1:41" x14ac:dyDescent="0.35">
      <c r="A14">
        <v>12</v>
      </c>
      <c r="B14" t="s">
        <v>341</v>
      </c>
      <c r="C14" t="s">
        <v>54</v>
      </c>
      <c r="D14" s="31">
        <v>14711</v>
      </c>
      <c r="E14" s="31">
        <v>34701</v>
      </c>
      <c r="F14" s="31">
        <v>35066</v>
      </c>
      <c r="G14" s="31">
        <v>35066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11993.3</v>
      </c>
      <c r="AB14">
        <v>3062.48</v>
      </c>
      <c r="AC14">
        <v>0</v>
      </c>
      <c r="AD14">
        <v>0</v>
      </c>
      <c r="AE14">
        <v>1694.16</v>
      </c>
      <c r="AF14">
        <v>1694.16</v>
      </c>
      <c r="AG14">
        <v>125.46</v>
      </c>
      <c r="AH14">
        <v>0</v>
      </c>
      <c r="AI14" t="s">
        <v>324</v>
      </c>
      <c r="AJ14">
        <v>0</v>
      </c>
      <c r="AK14">
        <v>2383.85</v>
      </c>
      <c r="AL14">
        <v>2383.85</v>
      </c>
      <c r="AM14">
        <v>0</v>
      </c>
      <c r="AN14">
        <v>2039.01</v>
      </c>
      <c r="AO14">
        <v>2039.01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8C35A-5946-4CF6-9399-89664D1B27C3}">
  <dimension ref="A1:M127"/>
  <sheetViews>
    <sheetView tabSelected="1" workbookViewId="0">
      <selection activeCell="H3" sqref="H3"/>
    </sheetView>
    <sheetView topLeftCell="A38" workbookViewId="1">
      <selection activeCell="H39" sqref="H39"/>
    </sheetView>
  </sheetViews>
  <sheetFormatPr defaultRowHeight="14.5" x14ac:dyDescent="0.35"/>
  <cols>
    <col min="2" max="2" width="19.7265625" customWidth="1"/>
    <col min="3" max="4" width="11.08984375" customWidth="1"/>
    <col min="5" max="5" width="10.6328125" customWidth="1"/>
    <col min="6" max="8" width="10.81640625" customWidth="1"/>
    <col min="9" max="13" width="11.81640625" customWidth="1"/>
  </cols>
  <sheetData>
    <row r="1" spans="1:13" x14ac:dyDescent="0.35">
      <c r="B1" t="s">
        <v>97</v>
      </c>
      <c r="C1" s="5">
        <v>3</v>
      </c>
    </row>
    <row r="2" spans="1:13" x14ac:dyDescent="0.35">
      <c r="A2">
        <v>1</v>
      </c>
      <c r="B2" t="str" cm="1">
        <f t="array" ref="B2">INDEX(InputFields,$A2)</f>
        <v>CaseID</v>
      </c>
      <c r="C2" cm="1">
        <f t="array" ref="C2">INDEX(InputData,CurrentCase,$A2)</f>
        <v>3</v>
      </c>
    </row>
    <row r="3" spans="1:13" x14ac:dyDescent="0.35">
      <c r="A3">
        <v>2</v>
      </c>
      <c r="B3" t="str" cm="1">
        <f t="array" ref="B3">INDEX(InputFields,$A3)</f>
        <v>CaseDescription</v>
      </c>
      <c r="C3" t="str" cm="1">
        <f t="array" ref="C3">INDEX(InputData,CurrentCase,$A3)</f>
        <v>All post 90 leave 60 Male no excess</v>
      </c>
    </row>
    <row r="4" spans="1:13" x14ac:dyDescent="0.35">
      <c r="A4">
        <v>3</v>
      </c>
      <c r="B4" t="str" cm="1">
        <f t="array" ref="B4">INDEX(InputFields,$A4)</f>
        <v>Sex</v>
      </c>
      <c r="C4" t="str" cm="1">
        <f t="array" ref="C4">INDEX(InputData,CurrentCase,$A4)</f>
        <v>M</v>
      </c>
    </row>
    <row r="5" spans="1:13" x14ac:dyDescent="0.35">
      <c r="A5">
        <v>4</v>
      </c>
      <c r="B5" t="str" cm="1">
        <f t="array" ref="B5">INDEX(InputFields,$A5)</f>
        <v>DateOfBirth</v>
      </c>
      <c r="C5" s="6" cm="1">
        <f t="array" ref="C5">INDEX(InputData,CurrentCase,$A5)</f>
        <v>15655</v>
      </c>
    </row>
    <row r="6" spans="1:13" x14ac:dyDescent="0.35">
      <c r="A6">
        <v>5</v>
      </c>
      <c r="B6" t="str" cm="1">
        <f t="array" ref="B6">INDEX(InputFields,$A6)</f>
        <v>DateCOStart</v>
      </c>
      <c r="C6" s="6" cm="1">
        <f t="array" ref="C6">INDEX(InputData,CurrentCase,$A6)</f>
        <v>33030</v>
      </c>
      <c r="D6" t="s">
        <v>189</v>
      </c>
      <c r="E6" s="7" t="s">
        <v>99</v>
      </c>
      <c r="F6" s="7" t="s">
        <v>98</v>
      </c>
    </row>
    <row r="7" spans="1:13" x14ac:dyDescent="0.35">
      <c r="A7">
        <v>6</v>
      </c>
      <c r="B7" t="str" cm="1">
        <f t="array" ref="B7">INDEX(InputFields,$A7)</f>
        <v>DateCOEnd</v>
      </c>
      <c r="C7" s="6" cm="1">
        <f t="array" ref="C7">INDEX(InputData,CurrentCase,$A7)</f>
        <v>33785</v>
      </c>
      <c r="D7" t="s">
        <v>298</v>
      </c>
      <c r="E7" s="7">
        <f>YEAR(DateCOEnd)-IF(MONTH(DateCOEnd)&lt;4,1,0)-IF(AND(MONTH(DateCOEnd)=4,DAY(DateCOEnd)&lt;6),1,0)</f>
        <v>1992</v>
      </c>
      <c r="F7" s="7">
        <f>MATCH(E7,EarningsFactorYear,0)</f>
        <v>15</v>
      </c>
    </row>
    <row r="8" spans="1:13" x14ac:dyDescent="0.35">
      <c r="A8">
        <v>7</v>
      </c>
      <c r="B8" t="str" cm="1">
        <f t="array" ref="B8">INDEX(InputFields,$A8)</f>
        <v>DateOfLeaving</v>
      </c>
      <c r="C8" s="6" cm="1">
        <f t="array" ref="C8">INDEX(InputData,CurrentCase,$A8)</f>
        <v>33785</v>
      </c>
      <c r="D8" t="s">
        <v>184</v>
      </c>
    </row>
    <row r="9" spans="1:13" x14ac:dyDescent="0.35">
      <c r="A9">
        <v>8</v>
      </c>
      <c r="B9" t="str" cm="1">
        <f t="array" ref="B9">INDEX(InputFields,$A9)</f>
        <v>DateOfRetirement</v>
      </c>
      <c r="C9" s="6" cm="1">
        <f t="array" ref="C9">INDEX(InputData,CurrentCase,$A9)</f>
        <v>39396</v>
      </c>
      <c r="I9" s="32" t="s">
        <v>110</v>
      </c>
      <c r="J9" s="32"/>
    </row>
    <row r="10" spans="1:13" x14ac:dyDescent="0.35">
      <c r="A10">
        <v>9</v>
      </c>
      <c r="B10" t="str" cm="1">
        <f t="array" ref="B10">INDEX(InputFields,$A10)</f>
        <v>DateOfDeath</v>
      </c>
      <c r="C10" s="6" cm="1">
        <f t="array" ref="C10">INDEX(InputData,CurrentCase,$A10)</f>
        <v>0</v>
      </c>
      <c r="E10" s="7" t="s">
        <v>107</v>
      </c>
      <c r="F10" s="7" t="s">
        <v>104</v>
      </c>
      <c r="G10" s="7" t="s">
        <v>104</v>
      </c>
      <c r="H10" s="7" t="s">
        <v>109</v>
      </c>
      <c r="I10" s="32" t="s">
        <v>111</v>
      </c>
      <c r="J10" s="32"/>
    </row>
    <row r="11" spans="1:13" x14ac:dyDescent="0.35">
      <c r="C11" s="6"/>
      <c r="E11" s="7" t="s">
        <v>108</v>
      </c>
      <c r="F11" s="7" t="s">
        <v>105</v>
      </c>
      <c r="G11" s="7" t="s">
        <v>106</v>
      </c>
      <c r="H11" s="7" t="s">
        <v>105</v>
      </c>
      <c r="I11" s="7" t="s">
        <v>153</v>
      </c>
      <c r="J11" s="7" t="s">
        <v>154</v>
      </c>
    </row>
    <row r="12" spans="1:13" x14ac:dyDescent="0.35">
      <c r="A12">
        <v>19</v>
      </c>
      <c r="B12" t="str" cm="1">
        <f t="array" ref="B12">INDEX(InputFields,$A12)</f>
        <v>CbnsTye87</v>
      </c>
      <c r="C12" cm="1">
        <f t="array" ref="C12">INDEX(InputData,CurrentCase,$A12)</f>
        <v>0</v>
      </c>
      <c r="D12" s="8">
        <v>6.8500000000000005E-2</v>
      </c>
      <c r="E12" s="7">
        <v>1987</v>
      </c>
      <c r="F12" s="11">
        <f>HLOOKUP(E12,EarningsFactors,EFRow,FALSE)</f>
        <v>0</v>
      </c>
      <c r="G12" s="10">
        <f>ROUND(C12/D12*(1+F12/100),0)</f>
        <v>0</v>
      </c>
      <c r="H12" s="12">
        <v>0.25</v>
      </c>
      <c r="I12" s="14">
        <f>G12*H12/WorkingLifeM</f>
        <v>0</v>
      </c>
      <c r="J12" s="14">
        <f>G12*H12/WorkingLifeF</f>
        <v>0</v>
      </c>
      <c r="M12">
        <v>19</v>
      </c>
    </row>
    <row r="13" spans="1:13" x14ac:dyDescent="0.35">
      <c r="D13" s="8"/>
      <c r="E13" s="7"/>
      <c r="F13" s="11"/>
      <c r="G13" s="7"/>
      <c r="H13" s="7"/>
      <c r="M13">
        <v>20</v>
      </c>
    </row>
    <row r="14" spans="1:13" x14ac:dyDescent="0.35">
      <c r="A14">
        <v>20</v>
      </c>
      <c r="B14" t="str" cm="1">
        <f t="array" ref="B14">INDEX(InputFields,$A14)</f>
        <v>BETye88</v>
      </c>
      <c r="C14" cm="1">
        <f t="array" ref="C14">INDEX(InputData,CurrentCase,$A14)</f>
        <v>0</v>
      </c>
      <c r="E14" s="7">
        <v>1988</v>
      </c>
      <c r="F14" s="11">
        <f>HLOOKUP(E14,EarningsFactors,EFRow,FALSE)</f>
        <v>0</v>
      </c>
      <c r="G14" s="10">
        <f>ROUND(C14*(1+F14/100),0)</f>
        <v>0</v>
      </c>
      <c r="H14" s="12">
        <v>0.25</v>
      </c>
      <c r="I14" s="14">
        <f t="shared" ref="I14:I23" si="0">G14*H14/WorkingLifeM</f>
        <v>0</v>
      </c>
      <c r="J14" s="14">
        <f t="shared" ref="J14:J23" si="1">G14*H14/WorkingLifeF</f>
        <v>0</v>
      </c>
      <c r="M14">
        <v>21</v>
      </c>
    </row>
    <row r="15" spans="1:13" x14ac:dyDescent="0.35">
      <c r="A15">
        <v>21</v>
      </c>
      <c r="B15" t="str" cm="1">
        <f t="array" ref="B15">INDEX(InputFields,$A15)</f>
        <v>BETye89</v>
      </c>
      <c r="C15" cm="1">
        <f t="array" ref="C15">INDEX(InputData,CurrentCase,$A15)</f>
        <v>0</v>
      </c>
      <c r="E15" s="7">
        <v>1989</v>
      </c>
      <c r="F15" s="11">
        <f t="shared" ref="F15:F23" si="2">HLOOKUP(E15,EarningsFactors,EFRow,FALSE)</f>
        <v>0</v>
      </c>
      <c r="G15" s="10">
        <f t="shared" ref="G15:G23" si="3">ROUND(C15*(1+F15/100),0)</f>
        <v>0</v>
      </c>
      <c r="H15" s="12">
        <v>0.2</v>
      </c>
      <c r="I15" s="14">
        <f t="shared" si="0"/>
        <v>0</v>
      </c>
      <c r="J15" s="14">
        <f t="shared" si="1"/>
        <v>0</v>
      </c>
      <c r="M15">
        <v>22</v>
      </c>
    </row>
    <row r="16" spans="1:13" x14ac:dyDescent="0.35">
      <c r="A16">
        <v>22</v>
      </c>
      <c r="B16" t="str" cm="1">
        <f t="array" ref="B16">INDEX(InputFields,$A16)</f>
        <v>BETye90</v>
      </c>
      <c r="C16" cm="1">
        <f t="array" ref="C16">INDEX(InputData,CurrentCase,$A16)</f>
        <v>0</v>
      </c>
      <c r="E16" s="7">
        <v>1990</v>
      </c>
      <c r="F16" s="11">
        <f t="shared" si="2"/>
        <v>0</v>
      </c>
      <c r="G16" s="10">
        <f t="shared" si="3"/>
        <v>0</v>
      </c>
      <c r="H16" s="12">
        <v>0.2</v>
      </c>
      <c r="I16" s="14">
        <f t="shared" si="0"/>
        <v>0</v>
      </c>
      <c r="J16" s="14">
        <f t="shared" si="1"/>
        <v>0</v>
      </c>
      <c r="M16">
        <v>23</v>
      </c>
    </row>
    <row r="17" spans="1:13" x14ac:dyDescent="0.35">
      <c r="A17">
        <v>23</v>
      </c>
      <c r="B17" t="str" cm="1">
        <f t="array" ref="B17">INDEX(InputFields,$A17)</f>
        <v>BETye91</v>
      </c>
      <c r="C17" cm="1">
        <f t="array" ref="C17">INDEX(InputData,CurrentCase,$A17)</f>
        <v>15000</v>
      </c>
      <c r="E17" s="7">
        <v>1991</v>
      </c>
      <c r="F17" s="11">
        <f t="shared" si="2"/>
        <v>0</v>
      </c>
      <c r="G17" s="10">
        <f t="shared" si="3"/>
        <v>15000</v>
      </c>
      <c r="H17" s="12">
        <v>0.2</v>
      </c>
      <c r="I17" s="14">
        <f t="shared" si="0"/>
        <v>103.44827586206897</v>
      </c>
      <c r="J17" s="14">
        <f t="shared" si="1"/>
        <v>125</v>
      </c>
      <c r="M17">
        <v>24</v>
      </c>
    </row>
    <row r="18" spans="1:13" x14ac:dyDescent="0.35">
      <c r="A18">
        <v>24</v>
      </c>
      <c r="B18" t="str" cm="1">
        <f t="array" ref="B18">INDEX(InputFields,$A18)</f>
        <v>BETye92</v>
      </c>
      <c r="C18" cm="1">
        <f t="array" ref="C18">INDEX(InputData,CurrentCase,$A18)</f>
        <v>17407</v>
      </c>
      <c r="E18" s="7">
        <v>1992</v>
      </c>
      <c r="F18" s="11">
        <f t="shared" si="2"/>
        <v>0</v>
      </c>
      <c r="G18" s="10">
        <f t="shared" si="3"/>
        <v>17407</v>
      </c>
      <c r="H18" s="12">
        <v>0.2</v>
      </c>
      <c r="I18" s="14">
        <f t="shared" si="0"/>
        <v>120.04827586206896</v>
      </c>
      <c r="J18" s="14">
        <f t="shared" si="1"/>
        <v>145.05833333333334</v>
      </c>
      <c r="M18">
        <v>25</v>
      </c>
    </row>
    <row r="19" spans="1:13" x14ac:dyDescent="0.35">
      <c r="A19">
        <v>25</v>
      </c>
      <c r="B19" t="str" cm="1">
        <f t="array" ref="B19">INDEX(InputFields,$A19)</f>
        <v>BETye93</v>
      </c>
      <c r="C19" cm="1">
        <f t="array" ref="C19">INDEX(InputData,CurrentCase,$A19)</f>
        <v>3000</v>
      </c>
      <c r="E19" s="7">
        <v>1993</v>
      </c>
      <c r="F19" s="11">
        <f t="shared" si="2"/>
        <v>0</v>
      </c>
      <c r="G19" s="10">
        <f t="shared" si="3"/>
        <v>3000</v>
      </c>
      <c r="H19" s="12">
        <v>0.2</v>
      </c>
      <c r="I19" s="14">
        <f t="shared" si="0"/>
        <v>20.689655172413794</v>
      </c>
      <c r="J19" s="14">
        <f t="shared" si="1"/>
        <v>25</v>
      </c>
      <c r="M19">
        <v>26</v>
      </c>
    </row>
    <row r="20" spans="1:13" x14ac:dyDescent="0.35">
      <c r="A20">
        <v>26</v>
      </c>
      <c r="B20" t="str" cm="1">
        <f t="array" ref="B20">INDEX(InputFields,$A20)</f>
        <v>BETye94</v>
      </c>
      <c r="C20" cm="1">
        <f t="array" ref="C20">INDEX(InputData,CurrentCase,$A20)</f>
        <v>0</v>
      </c>
      <c r="E20" s="7">
        <v>1994</v>
      </c>
      <c r="F20" s="11">
        <f t="shared" si="2"/>
        <v>0</v>
      </c>
      <c r="G20" s="10">
        <f t="shared" si="3"/>
        <v>0</v>
      </c>
      <c r="H20" s="12">
        <v>0.2</v>
      </c>
      <c r="I20" s="14">
        <f t="shared" si="0"/>
        <v>0</v>
      </c>
      <c r="J20" s="14">
        <f t="shared" si="1"/>
        <v>0</v>
      </c>
      <c r="M20">
        <v>27</v>
      </c>
    </row>
    <row r="21" spans="1:13" x14ac:dyDescent="0.35">
      <c r="A21">
        <v>27</v>
      </c>
      <c r="B21" t="str" cm="1">
        <f t="array" ref="B21">INDEX(InputFields,$A21)</f>
        <v>BETye95</v>
      </c>
      <c r="C21" cm="1">
        <f t="array" ref="C21">INDEX(InputData,CurrentCase,$A21)</f>
        <v>0</v>
      </c>
      <c r="E21" s="7">
        <v>1995</v>
      </c>
      <c r="F21" s="11">
        <f t="shared" si="2"/>
        <v>0</v>
      </c>
      <c r="G21" s="10">
        <f t="shared" si="3"/>
        <v>0</v>
      </c>
      <c r="H21" s="12">
        <v>0.2</v>
      </c>
      <c r="I21" s="14">
        <f t="shared" si="0"/>
        <v>0</v>
      </c>
      <c r="J21" s="14">
        <f t="shared" si="1"/>
        <v>0</v>
      </c>
      <c r="M21">
        <v>28</v>
      </c>
    </row>
    <row r="22" spans="1:13" x14ac:dyDescent="0.35">
      <c r="A22">
        <v>28</v>
      </c>
      <c r="B22" t="str" cm="1">
        <f t="array" ref="B22">INDEX(InputFields,$A22)</f>
        <v>BETye96</v>
      </c>
      <c r="C22" cm="1">
        <f t="array" ref="C22">INDEX(InputData,CurrentCase,$A22)</f>
        <v>0</v>
      </c>
      <c r="E22" s="7">
        <v>1996</v>
      </c>
      <c r="F22" s="11">
        <f t="shared" si="2"/>
        <v>0</v>
      </c>
      <c r="G22" s="10">
        <f t="shared" si="3"/>
        <v>0</v>
      </c>
      <c r="H22" s="12">
        <v>0.2</v>
      </c>
      <c r="I22" s="14">
        <f t="shared" si="0"/>
        <v>0</v>
      </c>
      <c r="J22" s="14">
        <f t="shared" si="1"/>
        <v>0</v>
      </c>
      <c r="M22">
        <v>29</v>
      </c>
    </row>
    <row r="23" spans="1:13" x14ac:dyDescent="0.35">
      <c r="A23">
        <v>29</v>
      </c>
      <c r="B23" t="str" cm="1">
        <f t="array" ref="B23">INDEX(InputFields,$A23)</f>
        <v>BETye97</v>
      </c>
      <c r="C23" cm="1">
        <f t="array" ref="C23">INDEX(InputData,CurrentCase,$A23)</f>
        <v>0</v>
      </c>
      <c r="E23" s="7">
        <v>1997</v>
      </c>
      <c r="F23" s="11">
        <f t="shared" si="2"/>
        <v>0</v>
      </c>
      <c r="G23" s="10">
        <f t="shared" si="3"/>
        <v>0</v>
      </c>
      <c r="H23" s="12">
        <v>0.2</v>
      </c>
      <c r="I23" s="14">
        <f t="shared" si="0"/>
        <v>0</v>
      </c>
      <c r="J23" s="14">
        <f t="shared" si="1"/>
        <v>0</v>
      </c>
    </row>
    <row r="25" spans="1:13" x14ac:dyDescent="0.35">
      <c r="G25" t="s">
        <v>158</v>
      </c>
    </row>
    <row r="26" spans="1:13" x14ac:dyDescent="0.35">
      <c r="B26" t="s">
        <v>100</v>
      </c>
      <c r="C26" s="4">
        <f>DATE(YEAR(DOB)+16,MONTH(DOB),DAY(DOB))</f>
        <v>21499</v>
      </c>
      <c r="H26" t="s">
        <v>112</v>
      </c>
      <c r="I26" s="13">
        <f>ROUND(SUM(I12:I14),2)</f>
        <v>0</v>
      </c>
      <c r="J26" s="13">
        <f>ROUND(SUM(J12:J14),2)</f>
        <v>0</v>
      </c>
    </row>
    <row r="27" spans="1:13" x14ac:dyDescent="0.35">
      <c r="B27" t="s">
        <v>101</v>
      </c>
      <c r="C27" s="4">
        <f>DATE(YEAR(DateOf16thBirthday),4,6)</f>
        <v>21281</v>
      </c>
      <c r="H27" t="s">
        <v>114</v>
      </c>
      <c r="I27" s="13">
        <f>ROUND(I26/52,2)</f>
        <v>0</v>
      </c>
      <c r="J27" s="13">
        <f>ROUND(J26/52,2)</f>
        <v>0</v>
      </c>
    </row>
    <row r="28" spans="1:13" x14ac:dyDescent="0.35">
      <c r="B28" t="s">
        <v>102</v>
      </c>
      <c r="C28" s="4">
        <f>IF(DateOf16thBirthday&gt;C27,C27,DATE(YEAR(C27)-1,4,6))</f>
        <v>21281</v>
      </c>
    </row>
    <row r="29" spans="1:13" x14ac:dyDescent="0.35">
      <c r="B29" t="s">
        <v>103</v>
      </c>
      <c r="C29" s="9">
        <f>IF(DateOfPrevApril&gt;DATE(1978,4,6),YEAR(DateOf16thBirthday),1978)</f>
        <v>1978</v>
      </c>
      <c r="H29" t="s">
        <v>113</v>
      </c>
      <c r="I29" s="13">
        <f>ROUND(SUM(I12:I23),2)</f>
        <v>244.19</v>
      </c>
      <c r="J29" s="13">
        <f>ROUND(SUM(J12:J23),2)</f>
        <v>295.06</v>
      </c>
    </row>
    <row r="30" spans="1:13" x14ac:dyDescent="0.35">
      <c r="B30" t="s">
        <v>152</v>
      </c>
      <c r="C30">
        <f>YEAR(DateOfPrevApril)+IF(UPPER(LEFT(Sex,1))="M",65,60)-16</f>
        <v>2007</v>
      </c>
      <c r="H30" t="s">
        <v>114</v>
      </c>
      <c r="I30" s="13">
        <f>ROUND(I29/52,2)</f>
        <v>4.7</v>
      </c>
      <c r="J30" s="13">
        <f>ROUND(J29/52,2)</f>
        <v>5.67</v>
      </c>
    </row>
    <row r="32" spans="1:13" x14ac:dyDescent="0.35">
      <c r="B32" t="s">
        <v>155</v>
      </c>
      <c r="C32">
        <f>C30-DateWorkingLifeStarts</f>
        <v>29</v>
      </c>
      <c r="H32" t="s">
        <v>115</v>
      </c>
      <c r="I32" s="13">
        <f>I29-I26</f>
        <v>244.19</v>
      </c>
      <c r="J32" s="13">
        <f>J29-J26</f>
        <v>295.06</v>
      </c>
    </row>
    <row r="33" spans="1:10" x14ac:dyDescent="0.35">
      <c r="B33" t="s">
        <v>156</v>
      </c>
      <c r="C33">
        <f>WorkingLifeM-5</f>
        <v>24</v>
      </c>
      <c r="H33" t="s">
        <v>114</v>
      </c>
      <c r="I33" s="13">
        <f>ROUND(I32/52,2)</f>
        <v>4.7</v>
      </c>
      <c r="J33" s="13">
        <f>ROUND(J32/52,2)</f>
        <v>5.67</v>
      </c>
    </row>
    <row r="35" spans="1:10" x14ac:dyDescent="0.35">
      <c r="B35" t="s">
        <v>169</v>
      </c>
      <c r="C35" s="19">
        <f>C36*0.8</f>
        <v>0</v>
      </c>
      <c r="H35" s="18" t="s">
        <v>157</v>
      </c>
      <c r="I35">
        <f>YearWorkingLifeEndsM-1</f>
        <v>2006</v>
      </c>
      <c r="J35">
        <f>I35-5</f>
        <v>2001</v>
      </c>
    </row>
    <row r="36" spans="1:10" x14ac:dyDescent="0.35">
      <c r="B36" t="s">
        <v>168</v>
      </c>
      <c r="C36" s="16">
        <f>C23</f>
        <v>0</v>
      </c>
      <c r="I36" s="7">
        <f>MATCH(I35,EarningsFactorYear,0)</f>
        <v>29</v>
      </c>
      <c r="J36" s="7">
        <f>MATCH(J35,EarningsFactorYear,0)</f>
        <v>24</v>
      </c>
    </row>
    <row r="37" spans="1:10" x14ac:dyDescent="0.35">
      <c r="B37" t="s">
        <v>163</v>
      </c>
      <c r="C37" s="19">
        <f>C36*1.5</f>
        <v>0</v>
      </c>
      <c r="H37" s="18" t="str">
        <f>"S148FactorFrom"&amp;E7</f>
        <v>S148FactorFrom1992</v>
      </c>
      <c r="I37" s="14">
        <f>IFERROR(1+HLOOKUP(TaxYearBase+1,EarningsFactors,I36,FALSE)/100,FixedFacM)</f>
        <v>1</v>
      </c>
      <c r="J37" s="14">
        <f>IFERROR(1+HLOOKUP(TaxYearBase+1,EarningsFactors,J36,FALSE)/100,FixedFacF)</f>
        <v>1</v>
      </c>
    </row>
    <row r="38" spans="1:10" x14ac:dyDescent="0.35">
      <c r="B38" t="s">
        <v>160</v>
      </c>
      <c r="C38" s="21">
        <f>(DateOfLeaving-DateCOStart)/365.25</f>
        <v>2.0670773442847366</v>
      </c>
      <c r="H38" t="s">
        <v>177</v>
      </c>
      <c r="I38">
        <f>I35-TaxYearBase</f>
        <v>14</v>
      </c>
      <c r="J38">
        <f>J35-TaxYearBase</f>
        <v>9</v>
      </c>
    </row>
    <row r="39" spans="1:10" x14ac:dyDescent="0.35">
      <c r="B39" t="s">
        <v>161</v>
      </c>
      <c r="C39">
        <v>80</v>
      </c>
      <c r="H39" s="8">
        <f>VLOOKUP(TaxYearBase,GMPFixedRateTable,3,TRUE)</f>
        <v>7.4999999999999997E-2</v>
      </c>
      <c r="I39">
        <f>ROUND((1+GMPFixedRate)^I38,3)</f>
        <v>2.7519999999999998</v>
      </c>
      <c r="J39">
        <f>ROUND((1+GMPFixedRate)^J38,3)</f>
        <v>1.917</v>
      </c>
    </row>
    <row r="40" spans="1:10" x14ac:dyDescent="0.35">
      <c r="B40" t="s">
        <v>162</v>
      </c>
      <c r="C40">
        <v>60</v>
      </c>
      <c r="G40" t="s">
        <v>159</v>
      </c>
    </row>
    <row r="41" spans="1:10" x14ac:dyDescent="0.35">
      <c r="B41" t="s">
        <v>164</v>
      </c>
      <c r="C41">
        <v>45</v>
      </c>
      <c r="G41" t="s">
        <v>176</v>
      </c>
    </row>
    <row r="42" spans="1:10" x14ac:dyDescent="0.35">
      <c r="H42" t="s">
        <v>112</v>
      </c>
      <c r="I42" s="13">
        <f>I43*52</f>
        <v>0</v>
      </c>
      <c r="J42" s="13">
        <f>J43*52</f>
        <v>0</v>
      </c>
    </row>
    <row r="43" spans="1:10" x14ac:dyDescent="0.35">
      <c r="B43" t="s">
        <v>165</v>
      </c>
      <c r="C43" s="13">
        <f>EstPenSalLow*Service/EstPensionLowAccrual</f>
        <v>0</v>
      </c>
      <c r="H43" t="s">
        <v>114</v>
      </c>
      <c r="I43" s="13">
        <f>ROUND(I27*S148FacM,2)</f>
        <v>0</v>
      </c>
      <c r="J43" s="13">
        <f>ROUND(J27*S148FacF,2)</f>
        <v>0</v>
      </c>
    </row>
    <row r="44" spans="1:10" x14ac:dyDescent="0.35">
      <c r="B44" t="s">
        <v>166</v>
      </c>
      <c r="C44" s="13">
        <f>EstPenSalMed*Service/EstPensionMedAccrual</f>
        <v>0</v>
      </c>
    </row>
    <row r="45" spans="1:10" x14ac:dyDescent="0.35">
      <c r="B45" t="s">
        <v>167</v>
      </c>
      <c r="C45" s="13">
        <f>EstPenSalHigh*Service/EstPensionHighAccrual</f>
        <v>0</v>
      </c>
      <c r="H45" t="s">
        <v>113</v>
      </c>
      <c r="I45" s="13">
        <f>I46*52</f>
        <v>244.4</v>
      </c>
      <c r="J45" s="13">
        <f>J46*52</f>
        <v>294.83999999999997</v>
      </c>
    </row>
    <row r="46" spans="1:10" x14ac:dyDescent="0.35">
      <c r="A46" t="s">
        <v>328</v>
      </c>
      <c r="D46" t="s">
        <v>284</v>
      </c>
      <c r="H46" t="s">
        <v>114</v>
      </c>
      <c r="I46" s="13">
        <f>ROUND(I30*S148FacM,2)</f>
        <v>4.7</v>
      </c>
      <c r="J46" s="13">
        <f>ROUND(J30*S148FacF,2)</f>
        <v>5.67</v>
      </c>
    </row>
    <row r="47" spans="1:10" x14ac:dyDescent="0.35">
      <c r="B47" t="s">
        <v>179</v>
      </c>
      <c r="C47">
        <v>65</v>
      </c>
      <c r="D47" s="7">
        <f>YEAR(DOB)-IF(MONTH(DOB)&lt;4,1,0)-IF(AND(MONTH(DOB)=4,DAY(DOB)&lt;6),1,0)+PreEQNRAM</f>
        <v>2007</v>
      </c>
    </row>
    <row r="48" spans="1:10" x14ac:dyDescent="0.35">
      <c r="B48" t="s">
        <v>180</v>
      </c>
      <c r="C48">
        <v>60</v>
      </c>
      <c r="D48" s="7">
        <f>YEAR(DOB)-IF(MONTH(DOB)&lt;4,1,0)-IF(AND(MONTH(DOB)=4,DAY(DOB)&lt;6),1,0)+PreEQNRAF</f>
        <v>2002</v>
      </c>
      <c r="H48" t="s">
        <v>115</v>
      </c>
      <c r="I48" s="13">
        <f>I49*52</f>
        <v>244.4</v>
      </c>
      <c r="J48" s="13">
        <f>J49*52</f>
        <v>294.83999999999997</v>
      </c>
    </row>
    <row r="49" spans="1:10" x14ac:dyDescent="0.35">
      <c r="B49" t="s">
        <v>186</v>
      </c>
      <c r="C49" s="4">
        <v>33010</v>
      </c>
      <c r="H49" t="s">
        <v>114</v>
      </c>
      <c r="I49" s="13">
        <f>I46-I43</f>
        <v>4.7</v>
      </c>
      <c r="J49" s="13">
        <f>J46-J43</f>
        <v>5.67</v>
      </c>
    </row>
    <row r="50" spans="1:10" x14ac:dyDescent="0.35">
      <c r="B50" t="s">
        <v>185</v>
      </c>
      <c r="C50" s="4">
        <v>33786</v>
      </c>
      <c r="G50" t="s">
        <v>178</v>
      </c>
    </row>
    <row r="51" spans="1:10" x14ac:dyDescent="0.35">
      <c r="B51" t="s">
        <v>181</v>
      </c>
      <c r="C51">
        <v>65</v>
      </c>
      <c r="H51" t="s">
        <v>112</v>
      </c>
      <c r="I51" s="13">
        <f>I52*52</f>
        <v>0</v>
      </c>
      <c r="J51" s="13">
        <f>J52*52</f>
        <v>0</v>
      </c>
    </row>
    <row r="52" spans="1:10" x14ac:dyDescent="0.35">
      <c r="B52" t="s">
        <v>288</v>
      </c>
      <c r="C52" t="s">
        <v>289</v>
      </c>
      <c r="H52" t="s">
        <v>114</v>
      </c>
      <c r="I52" s="13">
        <f>ROUND(I27*FixedFacM,2)</f>
        <v>0</v>
      </c>
      <c r="J52" s="13">
        <f>ROUND(J27*FixedFacF,2)</f>
        <v>0</v>
      </c>
    </row>
    <row r="53" spans="1:10" x14ac:dyDescent="0.35">
      <c r="B53" t="s">
        <v>295</v>
      </c>
      <c r="C53" s="24">
        <v>0.03</v>
      </c>
    </row>
    <row r="54" spans="1:10" x14ac:dyDescent="0.35">
      <c r="H54" t="s">
        <v>113</v>
      </c>
      <c r="I54" s="13">
        <f>I55*52</f>
        <v>672.36</v>
      </c>
      <c r="J54" s="13">
        <f>J55*52</f>
        <v>565.24</v>
      </c>
    </row>
    <row r="55" spans="1:10" x14ac:dyDescent="0.35">
      <c r="A55" t="s">
        <v>160</v>
      </c>
      <c r="C55" s="7" t="s">
        <v>182</v>
      </c>
      <c r="D55" s="7" t="s">
        <v>183</v>
      </c>
      <c r="E55" s="7" t="s">
        <v>113</v>
      </c>
      <c r="H55" t="s">
        <v>114</v>
      </c>
      <c r="I55" s="13">
        <f>ROUND(I30*FixedFacM,2)</f>
        <v>12.93</v>
      </c>
      <c r="J55" s="13">
        <f>ROUND(J30*FixedFacF,2)</f>
        <v>10.87</v>
      </c>
    </row>
    <row r="56" spans="1:10" x14ac:dyDescent="0.35">
      <c r="B56" t="s">
        <v>187</v>
      </c>
      <c r="C56" s="22"/>
      <c r="D56" s="22">
        <f>(DateOfLeaving-DateOfEQ)/365.25</f>
        <v>-2.7378507871321013E-3</v>
      </c>
    </row>
    <row r="57" spans="1:10" x14ac:dyDescent="0.35">
      <c r="B57" t="s">
        <v>188</v>
      </c>
      <c r="C57" s="22">
        <f>(DateOfEQ-DateOfBVG)/365.25</f>
        <v>2.1245722108145104</v>
      </c>
      <c r="D57" s="7"/>
      <c r="H57" t="s">
        <v>115</v>
      </c>
      <c r="I57" s="13">
        <f>I58*52</f>
        <v>672.36</v>
      </c>
      <c r="J57" s="13">
        <f>J58*52</f>
        <v>565.24</v>
      </c>
    </row>
    <row r="58" spans="1:10" x14ac:dyDescent="0.35">
      <c r="B58" t="s">
        <v>190</v>
      </c>
      <c r="C58" s="22">
        <f>IF(Sex="F",(DateOfBVG-DateCOStart)/365.25,0)</f>
        <v>0</v>
      </c>
      <c r="D58" s="22">
        <f>IF(Sex="M",(DateOfBVG-DateCOStart)/365.25,0)</f>
        <v>-5.4757015742642023E-2</v>
      </c>
      <c r="H58" t="s">
        <v>114</v>
      </c>
      <c r="I58" s="13">
        <f>I55-I52</f>
        <v>12.93</v>
      </c>
      <c r="J58" s="13">
        <f>J55-J52</f>
        <v>10.87</v>
      </c>
    </row>
    <row r="59" spans="1:10" x14ac:dyDescent="0.35">
      <c r="B59" t="s">
        <v>113</v>
      </c>
      <c r="C59" s="22">
        <f>SUM(C56:C58)</f>
        <v>2.1245722108145104</v>
      </c>
      <c r="D59" s="22">
        <f>SUM(D56:D58)</f>
        <v>-5.7494866529774126E-2</v>
      </c>
      <c r="E59" s="17">
        <f>C59+D59</f>
        <v>2.0670773442847361</v>
      </c>
    </row>
    <row r="60" spans="1:10" x14ac:dyDescent="0.35">
      <c r="C60" s="7"/>
      <c r="D60" s="7"/>
      <c r="H60" s="18" t="s">
        <v>157</v>
      </c>
      <c r="I60">
        <f>YearWorkingLifeEndsM</f>
        <v>2007</v>
      </c>
      <c r="J60">
        <f>I60-5</f>
        <v>2002</v>
      </c>
    </row>
    <row r="61" spans="1:10" x14ac:dyDescent="0.35">
      <c r="A61" t="s">
        <v>191</v>
      </c>
      <c r="C61" s="7"/>
      <c r="D61" s="7"/>
      <c r="H61" s="18" t="s">
        <v>268</v>
      </c>
      <c r="I61" s="20">
        <f>SUMIFS(S52AFactorValue,S52AStartYear,TaxYearBase,S52AEndYear,I60)</f>
        <v>0</v>
      </c>
      <c r="J61" s="20">
        <f>SUMIFS(S52AFactorValue,S52AStartYear,TaxYearBase,S52AEndYear,J60)</f>
        <v>0.32</v>
      </c>
    </row>
    <row r="62" spans="1:10" x14ac:dyDescent="0.35">
      <c r="B62" t="s">
        <v>165</v>
      </c>
      <c r="C62" s="23">
        <f t="shared" ref="C62:D64" si="4">$C43*C$59/Service</f>
        <v>0</v>
      </c>
      <c r="D62" s="23">
        <f t="shared" si="4"/>
        <v>0</v>
      </c>
      <c r="E62" s="13">
        <f>C62+D62</f>
        <v>0</v>
      </c>
      <c r="H62" s="18" t="s">
        <v>290</v>
      </c>
      <c r="I62">
        <f>IF(GMPRev="Fixed",IF(Sex="M",I51,J51),IF(Sex="M",I42,J42))</f>
        <v>0</v>
      </c>
    </row>
    <row r="63" spans="1:10" x14ac:dyDescent="0.35">
      <c r="B63" t="s">
        <v>166</v>
      </c>
      <c r="C63" s="23">
        <f t="shared" si="4"/>
        <v>0</v>
      </c>
      <c r="D63" s="23">
        <f t="shared" si="4"/>
        <v>0</v>
      </c>
      <c r="E63" s="13">
        <f t="shared" ref="E63:E64" si="5">C63+D63</f>
        <v>0</v>
      </c>
      <c r="H63" s="18" t="s">
        <v>291</v>
      </c>
      <c r="I63">
        <f>IF(GMPRev="Fixed",IF(Sex="M",I57,J57),IF(Sex="M",I48,J48))</f>
        <v>672.36</v>
      </c>
    </row>
    <row r="64" spans="1:10" x14ac:dyDescent="0.35">
      <c r="B64" t="s">
        <v>167</v>
      </c>
      <c r="C64" s="23">
        <f t="shared" si="4"/>
        <v>0</v>
      </c>
      <c r="D64" s="23">
        <f t="shared" si="4"/>
        <v>0</v>
      </c>
      <c r="E64" s="13">
        <f t="shared" si="5"/>
        <v>0</v>
      </c>
      <c r="H64" s="18" t="s">
        <v>294</v>
      </c>
      <c r="I64">
        <f>IF(Sex="M",TaxYear65,TaxYear60)</f>
        <v>2007</v>
      </c>
    </row>
    <row r="65" spans="1:11" x14ac:dyDescent="0.35">
      <c r="C65" s="7"/>
      <c r="D65" s="7"/>
    </row>
    <row r="66" spans="1:11" x14ac:dyDescent="0.35">
      <c r="C66" s="7"/>
      <c r="D66" s="7"/>
    </row>
    <row r="67" spans="1:11" x14ac:dyDescent="0.35">
      <c r="A67" t="s">
        <v>269</v>
      </c>
      <c r="C67" s="7"/>
      <c r="D67" s="7"/>
      <c r="G67" t="s">
        <v>297</v>
      </c>
      <c r="I67" s="7"/>
      <c r="J67" s="7"/>
    </row>
    <row r="68" spans="1:11" x14ac:dyDescent="0.35">
      <c r="B68" t="s">
        <v>270</v>
      </c>
      <c r="C68" s="25">
        <f>IF(DateCOStart&gt;DATE(1988,6,4),DateCOStart,DATE(1988,6,4))</f>
        <v>33030</v>
      </c>
      <c r="D68" s="7"/>
      <c r="H68" s="18" t="s">
        <v>270</v>
      </c>
      <c r="I68" s="25">
        <f>IF(DateCOStart&gt;DATE(1988,6,4),DateCOStart,DATE(1988,6,4))</f>
        <v>33030</v>
      </c>
      <c r="J68" s="7"/>
    </row>
    <row r="69" spans="1:11" x14ac:dyDescent="0.35">
      <c r="B69" t="s">
        <v>271</v>
      </c>
      <c r="C69" s="22">
        <f>(DateCOEnd-DatePost88Start)/365.25</f>
        <v>2.0670773442847366</v>
      </c>
      <c r="D69" s="7"/>
      <c r="H69" s="18" t="s">
        <v>299</v>
      </c>
      <c r="I69" s="22">
        <f>(DateCOEnd-DatePost88Start)/365.25</f>
        <v>2.0670773442847366</v>
      </c>
      <c r="J69" s="7"/>
    </row>
    <row r="70" spans="1:11" x14ac:dyDescent="0.35">
      <c r="B70" t="s">
        <v>188</v>
      </c>
      <c r="C70" s="22">
        <f>(DateOfEQ-DateOfBVG)/365.25</f>
        <v>2.1245722108145104</v>
      </c>
      <c r="D70" s="7"/>
      <c r="H70" s="18" t="s">
        <v>300</v>
      </c>
      <c r="I70" s="22">
        <f>(DateCOEnd-DateOfBVG)/365.25</f>
        <v>2.1218343600273784</v>
      </c>
      <c r="J70" s="7"/>
    </row>
    <row r="71" spans="1:11" x14ac:dyDescent="0.35">
      <c r="B71" t="s">
        <v>272</v>
      </c>
      <c r="C71" s="26">
        <f>C70/C69</f>
        <v>1.0278145695364238</v>
      </c>
      <c r="D71" s="27">
        <f>1-C71</f>
        <v>-2.7814569536423805E-2</v>
      </c>
      <c r="H71" s="18" t="s">
        <v>272</v>
      </c>
      <c r="I71" s="26">
        <f>I70/I69</f>
        <v>1.0264900662251655</v>
      </c>
      <c r="J71" s="27">
        <f>1-I71</f>
        <v>-2.6490066225165476E-2</v>
      </c>
    </row>
    <row r="72" spans="1:11" x14ac:dyDescent="0.35">
      <c r="C72" s="7"/>
      <c r="D72" s="7"/>
      <c r="H72" s="18"/>
    </row>
    <row r="73" spans="1:11" x14ac:dyDescent="0.35">
      <c r="B73" t="s">
        <v>273</v>
      </c>
      <c r="C73" s="28">
        <f>$I$32*C71</f>
        <v>250.98203973509933</v>
      </c>
      <c r="D73" s="28">
        <f>$I$32*D71</f>
        <v>-6.7920397350993289</v>
      </c>
      <c r="E73" s="28">
        <f t="shared" ref="E73:E74" si="6">C73+D73</f>
        <v>244.19</v>
      </c>
      <c r="F73" s="18"/>
      <c r="H73" s="18" t="s">
        <v>301</v>
      </c>
      <c r="I73" s="13">
        <f>J29*I71</f>
        <v>302.87615894039732</v>
      </c>
      <c r="J73" s="13">
        <f>J29*J71</f>
        <v>-7.8161589403973251</v>
      </c>
      <c r="K73" s="13">
        <f>I73+J73</f>
        <v>295.06</v>
      </c>
    </row>
    <row r="74" spans="1:11" x14ac:dyDescent="0.35">
      <c r="B74" t="s">
        <v>274</v>
      </c>
      <c r="C74" s="18"/>
      <c r="D74" s="28">
        <f>I26</f>
        <v>0</v>
      </c>
      <c r="E74" s="28">
        <f t="shared" si="6"/>
        <v>0</v>
      </c>
      <c r="F74" s="18"/>
      <c r="H74" t="s">
        <v>274</v>
      </c>
      <c r="I74" s="13"/>
      <c r="J74" s="13">
        <f>D74</f>
        <v>0</v>
      </c>
      <c r="K74" s="13">
        <f>I74+J74</f>
        <v>0</v>
      </c>
    </row>
    <row r="75" spans="1:11" x14ac:dyDescent="0.35">
      <c r="C75" s="28">
        <f>SUM(C73:C74)</f>
        <v>250.98203973509933</v>
      </c>
      <c r="D75" s="28">
        <f>SUM(D73:D74)</f>
        <v>-6.7920397350993289</v>
      </c>
      <c r="E75" s="28">
        <f>SUM(E73:E74)</f>
        <v>244.19</v>
      </c>
      <c r="F75" s="18"/>
      <c r="I75" s="28">
        <f>SUM(I73:I74)</f>
        <v>302.87615894039732</v>
      </c>
      <c r="J75" s="28">
        <f>SUM(J73:J74)</f>
        <v>-7.8161589403973251</v>
      </c>
      <c r="K75" s="28">
        <f>SUM(K73:K74)</f>
        <v>295.06</v>
      </c>
    </row>
    <row r="76" spans="1:11" x14ac:dyDescent="0.35">
      <c r="C76" s="18"/>
      <c r="D76" s="18"/>
      <c r="E76" s="18"/>
      <c r="F76" s="18"/>
    </row>
    <row r="77" spans="1:11" x14ac:dyDescent="0.35">
      <c r="A77" t="s">
        <v>275</v>
      </c>
      <c r="C77" s="18"/>
      <c r="D77" s="18"/>
      <c r="E77" s="18"/>
      <c r="F77" s="18" t="s">
        <v>276</v>
      </c>
    </row>
    <row r="78" spans="1:11" x14ac:dyDescent="0.35">
      <c r="B78" t="s">
        <v>278</v>
      </c>
      <c r="C78" s="28">
        <f>C62-$C$75</f>
        <v>-250.98203973509933</v>
      </c>
      <c r="D78" s="28">
        <f>D62-$D$75</f>
        <v>6.7920397350993289</v>
      </c>
      <c r="E78" s="28">
        <f t="shared" ref="E78:E80" si="7">C78+D78</f>
        <v>-244.19</v>
      </c>
      <c r="F78" s="28">
        <f>E78+$E$75</f>
        <v>0</v>
      </c>
    </row>
    <row r="79" spans="1:11" x14ac:dyDescent="0.35">
      <c r="B79" t="s">
        <v>279</v>
      </c>
      <c r="C79" s="28">
        <f>C63-$C$75</f>
        <v>-250.98203973509933</v>
      </c>
      <c r="D79" s="28">
        <f>D63-$D$75</f>
        <v>6.7920397350993289</v>
      </c>
      <c r="E79" s="28">
        <f t="shared" si="7"/>
        <v>-244.19</v>
      </c>
      <c r="F79" s="28">
        <f t="shared" ref="F79:F80" si="8">E79+$E$75</f>
        <v>0</v>
      </c>
    </row>
    <row r="80" spans="1:11" x14ac:dyDescent="0.35">
      <c r="B80" t="s">
        <v>280</v>
      </c>
      <c r="C80" s="28">
        <f>C64-$C$75</f>
        <v>-250.98203973509933</v>
      </c>
      <c r="D80" s="28">
        <f>D64-$D$75</f>
        <v>6.7920397350993289</v>
      </c>
      <c r="E80" s="28">
        <f t="shared" si="7"/>
        <v>-244.19</v>
      </c>
      <c r="F80" s="28">
        <f t="shared" si="8"/>
        <v>0</v>
      </c>
    </row>
    <row r="81" spans="1:13" x14ac:dyDescent="0.35">
      <c r="B81" t="s">
        <v>342</v>
      </c>
      <c r="C81">
        <f>C83</f>
        <v>136.06</v>
      </c>
      <c r="D81" s="28">
        <f>C82</f>
        <v>507.53</v>
      </c>
      <c r="E81" s="28"/>
      <c r="F81" s="28"/>
    </row>
    <row r="82" spans="1:13" x14ac:dyDescent="0.35">
      <c r="A82">
        <v>33</v>
      </c>
      <c r="B82" t="str" cm="1">
        <f t="array" ref="B82">INDEX(InputFields,$A82)</f>
        <v>MaleNRAExcess</v>
      </c>
      <c r="C82" cm="1">
        <f t="array" ref="C82">INDEX(InputData,CurrentCase,$A82)</f>
        <v>507.53</v>
      </c>
      <c r="D82" s="28"/>
      <c r="E82" s="28"/>
      <c r="F82" s="28"/>
    </row>
    <row r="83" spans="1:13" x14ac:dyDescent="0.35">
      <c r="A83">
        <v>34</v>
      </c>
      <c r="B83" t="str" cm="1">
        <f t="array" ref="B83">INDEX(InputFields,$A83)</f>
        <v>FemaleNRAExcess</v>
      </c>
      <c r="C83" cm="1">
        <f t="array" ref="C83">INDEX(InputData,CurrentCase,$A83)</f>
        <v>136.06</v>
      </c>
      <c r="D83" s="28"/>
      <c r="E83" s="28"/>
      <c r="F83" s="28"/>
    </row>
    <row r="85" spans="1:13" x14ac:dyDescent="0.35">
      <c r="A85" t="s">
        <v>277</v>
      </c>
      <c r="C85" s="7" t="s">
        <v>182</v>
      </c>
      <c r="D85" s="7" t="s">
        <v>183</v>
      </c>
    </row>
    <row r="86" spans="1:13" x14ac:dyDescent="0.35">
      <c r="A86" t="s">
        <v>281</v>
      </c>
      <c r="B86">
        <v>4</v>
      </c>
      <c r="C86" s="29" cm="1">
        <f t="array" ref="C86">INDEX(C78:C81,$B$86)</f>
        <v>136.06</v>
      </c>
      <c r="D86" s="29" cm="1">
        <f t="array" ref="D86">INDEX(D78:D81,$B$86)</f>
        <v>507.53</v>
      </c>
    </row>
    <row r="87" spans="1:13" x14ac:dyDescent="0.35">
      <c r="B87" s="18" t="s">
        <v>282</v>
      </c>
      <c r="C87" s="20">
        <f>1+J61</f>
        <v>1.32</v>
      </c>
      <c r="D87" s="20">
        <f>1+I61</f>
        <v>1</v>
      </c>
    </row>
    <row r="88" spans="1:13" x14ac:dyDescent="0.35">
      <c r="B88" s="18" t="s">
        <v>283</v>
      </c>
      <c r="C88" s="13">
        <f>C86*C87</f>
        <v>179.59920000000002</v>
      </c>
      <c r="D88" s="13">
        <f>D86*D87</f>
        <v>507.53</v>
      </c>
    </row>
    <row r="90" spans="1:13" x14ac:dyDescent="0.35">
      <c r="C90" s="33" t="s">
        <v>285</v>
      </c>
      <c r="D90" s="33"/>
      <c r="E90" s="33"/>
      <c r="F90" s="33"/>
      <c r="G90" s="33" t="s">
        <v>292</v>
      </c>
      <c r="H90" s="33"/>
      <c r="I90" s="33" t="s">
        <v>296</v>
      </c>
      <c r="J90" s="33"/>
      <c r="K90" s="33"/>
      <c r="L90" s="33"/>
      <c r="M90" s="33"/>
    </row>
    <row r="91" spans="1:13" x14ac:dyDescent="0.35">
      <c r="B91" s="7" t="s">
        <v>284</v>
      </c>
      <c r="C91" s="30" t="s">
        <v>286</v>
      </c>
      <c r="D91" s="30" t="s">
        <v>287</v>
      </c>
      <c r="E91" s="30" t="s">
        <v>290</v>
      </c>
      <c r="F91" s="30" t="s">
        <v>291</v>
      </c>
      <c r="G91" s="30" t="s">
        <v>293</v>
      </c>
      <c r="H91" s="30" t="s">
        <v>273</v>
      </c>
      <c r="I91" s="30" t="s">
        <v>286</v>
      </c>
      <c r="J91" s="30" t="s">
        <v>287</v>
      </c>
      <c r="K91" s="30" t="s">
        <v>290</v>
      </c>
      <c r="L91" s="30" t="s">
        <v>291</v>
      </c>
      <c r="M91" s="30" t="s">
        <v>113</v>
      </c>
    </row>
    <row r="92" spans="1:13" x14ac:dyDescent="0.35">
      <c r="B92" s="7">
        <v>1990</v>
      </c>
      <c r="C92" s="29">
        <f t="shared" ref="C92:C127" si="9">IF($B92=TaxYear60,NRA60XS,0)</f>
        <v>0</v>
      </c>
      <c r="D92" s="29">
        <f t="shared" ref="D92:D127" si="10">IF($B92=TaxYear65,NRA65XS,0)</f>
        <v>0</v>
      </c>
      <c r="E92" s="29">
        <f t="shared" ref="E92:E127" si="11">IF($B92=TaxYearGMP,Pre88RGMP,0)</f>
        <v>0</v>
      </c>
      <c r="F92" s="29">
        <f t="shared" ref="F92:F127" si="12">IF($B92=TaxYearGMP,Post88RGMP,0)</f>
        <v>0</v>
      </c>
      <c r="G92" s="8">
        <f t="shared" ref="G92:G127" si="13">IFERROR(VLOOKUP(B92,PublicsectorIncreaseTable,3,FALSE),FuturePIPincs)</f>
        <v>7.5999999999999998E-2</v>
      </c>
      <c r="H92" s="24">
        <f>MIN(G92,0.03)</f>
        <v>0.03</v>
      </c>
      <c r="I92" s="29">
        <f>C92</f>
        <v>0</v>
      </c>
      <c r="J92" s="29">
        <f t="shared" ref="J92:L92" si="14">D92</f>
        <v>0</v>
      </c>
      <c r="K92" s="29">
        <f t="shared" si="14"/>
        <v>0</v>
      </c>
      <c r="L92" s="29">
        <f t="shared" si="14"/>
        <v>0</v>
      </c>
      <c r="M92" s="13">
        <f>SUM(I92:L92)</f>
        <v>0</v>
      </c>
    </row>
    <row r="93" spans="1:13" x14ac:dyDescent="0.35">
      <c r="B93" s="7">
        <v>1991</v>
      </c>
      <c r="C93" s="29">
        <f t="shared" si="9"/>
        <v>0</v>
      </c>
      <c r="D93" s="29">
        <f t="shared" si="10"/>
        <v>0</v>
      </c>
      <c r="E93" s="29">
        <f t="shared" si="11"/>
        <v>0</v>
      </c>
      <c r="F93" s="29">
        <f t="shared" si="12"/>
        <v>0</v>
      </c>
      <c r="G93" s="8">
        <f t="shared" si="13"/>
        <v>0.109</v>
      </c>
      <c r="H93" s="24">
        <f t="shared" ref="H93:H127" si="15">MIN(G93,0.03)</f>
        <v>0.03</v>
      </c>
      <c r="I93" s="29">
        <f>I92*(1+$G93)+C93</f>
        <v>0</v>
      </c>
      <c r="J93" s="29">
        <f>J92*(1+$G93)+D93</f>
        <v>0</v>
      </c>
      <c r="K93" s="29">
        <f>K92+E93</f>
        <v>0</v>
      </c>
      <c r="L93" s="29">
        <f>L92*(1+$H93)+F93</f>
        <v>0</v>
      </c>
      <c r="M93" s="13">
        <f t="shared" ref="M93:M127" si="16">SUM(I93:L93)</f>
        <v>0</v>
      </c>
    </row>
    <row r="94" spans="1:13" x14ac:dyDescent="0.35">
      <c r="B94" s="7">
        <v>1992</v>
      </c>
      <c r="C94" s="29">
        <f t="shared" si="9"/>
        <v>0</v>
      </c>
      <c r="D94" s="29">
        <f t="shared" si="10"/>
        <v>0</v>
      </c>
      <c r="E94" s="29">
        <f t="shared" si="11"/>
        <v>0</v>
      </c>
      <c r="F94" s="29">
        <f t="shared" si="12"/>
        <v>0</v>
      </c>
      <c r="G94" s="8">
        <f t="shared" si="13"/>
        <v>4.1000000000000002E-2</v>
      </c>
      <c r="H94" s="24">
        <f t="shared" si="15"/>
        <v>0.03</v>
      </c>
      <c r="I94" s="29">
        <f t="shared" ref="I94:I127" si="17">I93*(1+G94)+C94</f>
        <v>0</v>
      </c>
      <c r="J94" s="29">
        <f t="shared" ref="J94:J127" si="18">J93*(1+$G94)+D94</f>
        <v>0</v>
      </c>
      <c r="K94" s="29">
        <f t="shared" ref="K94:K127" si="19">K93+E94</f>
        <v>0</v>
      </c>
      <c r="L94" s="29">
        <f t="shared" ref="L94:L127" si="20">L93*(1+$H94)+F94</f>
        <v>0</v>
      </c>
      <c r="M94" s="13">
        <f t="shared" si="16"/>
        <v>0</v>
      </c>
    </row>
    <row r="95" spans="1:13" x14ac:dyDescent="0.35">
      <c r="B95" s="7">
        <v>1993</v>
      </c>
      <c r="C95" s="29">
        <f t="shared" si="9"/>
        <v>0</v>
      </c>
      <c r="D95" s="29">
        <f t="shared" si="10"/>
        <v>0</v>
      </c>
      <c r="E95" s="29">
        <f t="shared" si="11"/>
        <v>0</v>
      </c>
      <c r="F95" s="29">
        <f t="shared" si="12"/>
        <v>0</v>
      </c>
      <c r="G95" s="8">
        <f t="shared" si="13"/>
        <v>3.5999999999999997E-2</v>
      </c>
      <c r="H95" s="24">
        <f t="shared" si="15"/>
        <v>0.03</v>
      </c>
      <c r="I95" s="29">
        <f t="shared" si="17"/>
        <v>0</v>
      </c>
      <c r="J95" s="29">
        <f t="shared" si="18"/>
        <v>0</v>
      </c>
      <c r="K95" s="29">
        <f t="shared" si="19"/>
        <v>0</v>
      </c>
      <c r="L95" s="29">
        <f t="shared" si="20"/>
        <v>0</v>
      </c>
      <c r="M95" s="13">
        <f t="shared" si="16"/>
        <v>0</v>
      </c>
    </row>
    <row r="96" spans="1:13" x14ac:dyDescent="0.35">
      <c r="B96" s="7">
        <v>1994</v>
      </c>
      <c r="C96" s="29">
        <f t="shared" si="9"/>
        <v>0</v>
      </c>
      <c r="D96" s="29">
        <f t="shared" si="10"/>
        <v>0</v>
      </c>
      <c r="E96" s="29">
        <f t="shared" si="11"/>
        <v>0</v>
      </c>
      <c r="F96" s="29">
        <f t="shared" si="12"/>
        <v>0</v>
      </c>
      <c r="G96" s="8">
        <f t="shared" si="13"/>
        <v>1.7999999999999999E-2</v>
      </c>
      <c r="H96" s="24">
        <f t="shared" si="15"/>
        <v>1.7999999999999999E-2</v>
      </c>
      <c r="I96" s="29">
        <f t="shared" si="17"/>
        <v>0</v>
      </c>
      <c r="J96" s="29">
        <f t="shared" si="18"/>
        <v>0</v>
      </c>
      <c r="K96" s="29">
        <f t="shared" si="19"/>
        <v>0</v>
      </c>
      <c r="L96" s="29">
        <f t="shared" si="20"/>
        <v>0</v>
      </c>
      <c r="M96" s="13">
        <f t="shared" si="16"/>
        <v>0</v>
      </c>
    </row>
    <row r="97" spans="2:13" x14ac:dyDescent="0.35">
      <c r="B97" s="7">
        <v>1995</v>
      </c>
      <c r="C97" s="29">
        <f t="shared" si="9"/>
        <v>0</v>
      </c>
      <c r="D97" s="29">
        <f t="shared" si="10"/>
        <v>0</v>
      </c>
      <c r="E97" s="29">
        <f t="shared" si="11"/>
        <v>0</v>
      </c>
      <c r="F97" s="29">
        <f t="shared" si="12"/>
        <v>0</v>
      </c>
      <c r="G97" s="8">
        <f t="shared" si="13"/>
        <v>2.1999999999999999E-2</v>
      </c>
      <c r="H97" s="24">
        <f t="shared" si="15"/>
        <v>2.1999999999999999E-2</v>
      </c>
      <c r="I97" s="29">
        <f t="shared" si="17"/>
        <v>0</v>
      </c>
      <c r="J97" s="29">
        <f t="shared" si="18"/>
        <v>0</v>
      </c>
      <c r="K97" s="29">
        <f t="shared" si="19"/>
        <v>0</v>
      </c>
      <c r="L97" s="29">
        <f t="shared" si="20"/>
        <v>0</v>
      </c>
      <c r="M97" s="13">
        <f t="shared" si="16"/>
        <v>0</v>
      </c>
    </row>
    <row r="98" spans="2:13" x14ac:dyDescent="0.35">
      <c r="B98" s="7">
        <v>1996</v>
      </c>
      <c r="C98" s="29">
        <f t="shared" si="9"/>
        <v>0</v>
      </c>
      <c r="D98" s="29">
        <f t="shared" si="10"/>
        <v>0</v>
      </c>
      <c r="E98" s="29">
        <f t="shared" si="11"/>
        <v>0</v>
      </c>
      <c r="F98" s="29">
        <f t="shared" si="12"/>
        <v>0</v>
      </c>
      <c r="G98" s="8">
        <f t="shared" si="13"/>
        <v>3.9E-2</v>
      </c>
      <c r="H98" s="24">
        <f t="shared" si="15"/>
        <v>0.03</v>
      </c>
      <c r="I98" s="29">
        <f t="shared" si="17"/>
        <v>0</v>
      </c>
      <c r="J98" s="29">
        <f t="shared" si="18"/>
        <v>0</v>
      </c>
      <c r="K98" s="29">
        <f t="shared" si="19"/>
        <v>0</v>
      </c>
      <c r="L98" s="29">
        <f t="shared" si="20"/>
        <v>0</v>
      </c>
      <c r="M98" s="13">
        <f t="shared" si="16"/>
        <v>0</v>
      </c>
    </row>
    <row r="99" spans="2:13" x14ac:dyDescent="0.35">
      <c r="B99" s="7">
        <v>1997</v>
      </c>
      <c r="C99" s="29">
        <f t="shared" si="9"/>
        <v>0</v>
      </c>
      <c r="D99" s="29">
        <f t="shared" si="10"/>
        <v>0</v>
      </c>
      <c r="E99" s="29">
        <f t="shared" si="11"/>
        <v>0</v>
      </c>
      <c r="F99" s="29">
        <f t="shared" si="12"/>
        <v>0</v>
      </c>
      <c r="G99" s="8">
        <f t="shared" si="13"/>
        <v>2.1000000000000001E-2</v>
      </c>
      <c r="H99" s="24">
        <f t="shared" si="15"/>
        <v>2.1000000000000001E-2</v>
      </c>
      <c r="I99" s="29">
        <f t="shared" si="17"/>
        <v>0</v>
      </c>
      <c r="J99" s="29">
        <f t="shared" si="18"/>
        <v>0</v>
      </c>
      <c r="K99" s="29">
        <f t="shared" si="19"/>
        <v>0</v>
      </c>
      <c r="L99" s="29">
        <f t="shared" si="20"/>
        <v>0</v>
      </c>
      <c r="M99" s="13">
        <f t="shared" si="16"/>
        <v>0</v>
      </c>
    </row>
    <row r="100" spans="2:13" x14ac:dyDescent="0.35">
      <c r="B100" s="7">
        <v>1998</v>
      </c>
      <c r="C100" s="29">
        <f t="shared" si="9"/>
        <v>0</v>
      </c>
      <c r="D100" s="29">
        <f t="shared" si="10"/>
        <v>0</v>
      </c>
      <c r="E100" s="29">
        <f t="shared" si="11"/>
        <v>0</v>
      </c>
      <c r="F100" s="29">
        <f t="shared" si="12"/>
        <v>0</v>
      </c>
      <c r="G100" s="8">
        <f t="shared" si="13"/>
        <v>3.5999999999999997E-2</v>
      </c>
      <c r="H100" s="24">
        <f t="shared" si="15"/>
        <v>0.03</v>
      </c>
      <c r="I100" s="29">
        <f t="shared" si="17"/>
        <v>0</v>
      </c>
      <c r="J100" s="29">
        <f t="shared" si="18"/>
        <v>0</v>
      </c>
      <c r="K100" s="29">
        <f t="shared" si="19"/>
        <v>0</v>
      </c>
      <c r="L100" s="29">
        <f t="shared" si="20"/>
        <v>0</v>
      </c>
      <c r="M100" s="13">
        <f t="shared" si="16"/>
        <v>0</v>
      </c>
    </row>
    <row r="101" spans="2:13" x14ac:dyDescent="0.35">
      <c r="B101" s="7">
        <v>1999</v>
      </c>
      <c r="C101" s="29">
        <f t="shared" si="9"/>
        <v>0</v>
      </c>
      <c r="D101" s="29">
        <f t="shared" si="10"/>
        <v>0</v>
      </c>
      <c r="E101" s="29">
        <f t="shared" si="11"/>
        <v>0</v>
      </c>
      <c r="F101" s="29">
        <f t="shared" si="12"/>
        <v>0</v>
      </c>
      <c r="G101" s="8">
        <f t="shared" si="13"/>
        <v>3.2000000000000001E-2</v>
      </c>
      <c r="H101" s="24">
        <f t="shared" si="15"/>
        <v>0.03</v>
      </c>
      <c r="I101" s="29">
        <f t="shared" si="17"/>
        <v>0</v>
      </c>
      <c r="J101" s="29">
        <f t="shared" si="18"/>
        <v>0</v>
      </c>
      <c r="K101" s="29">
        <f t="shared" si="19"/>
        <v>0</v>
      </c>
      <c r="L101" s="29">
        <f t="shared" si="20"/>
        <v>0</v>
      </c>
      <c r="M101" s="13">
        <f t="shared" si="16"/>
        <v>0</v>
      </c>
    </row>
    <row r="102" spans="2:13" x14ac:dyDescent="0.35">
      <c r="B102" s="7">
        <v>2000</v>
      </c>
      <c r="C102" s="29">
        <f t="shared" si="9"/>
        <v>0</v>
      </c>
      <c r="D102" s="29">
        <f t="shared" si="10"/>
        <v>0</v>
      </c>
      <c r="E102" s="29">
        <f t="shared" si="11"/>
        <v>0</v>
      </c>
      <c r="F102" s="29">
        <f t="shared" si="12"/>
        <v>0</v>
      </c>
      <c r="G102" s="8">
        <f t="shared" si="13"/>
        <v>1.0999999999999999E-2</v>
      </c>
      <c r="H102" s="24">
        <f t="shared" si="15"/>
        <v>1.0999999999999999E-2</v>
      </c>
      <c r="I102" s="29">
        <f t="shared" si="17"/>
        <v>0</v>
      </c>
      <c r="J102" s="29">
        <f t="shared" si="18"/>
        <v>0</v>
      </c>
      <c r="K102" s="29">
        <f t="shared" si="19"/>
        <v>0</v>
      </c>
      <c r="L102" s="29">
        <f t="shared" si="20"/>
        <v>0</v>
      </c>
      <c r="M102" s="13">
        <f t="shared" si="16"/>
        <v>0</v>
      </c>
    </row>
    <row r="103" spans="2:13" x14ac:dyDescent="0.35">
      <c r="B103" s="7">
        <v>2001</v>
      </c>
      <c r="C103" s="29">
        <f t="shared" si="9"/>
        <v>0</v>
      </c>
      <c r="D103" s="29">
        <f t="shared" si="10"/>
        <v>0</v>
      </c>
      <c r="E103" s="29">
        <f t="shared" si="11"/>
        <v>0</v>
      </c>
      <c r="F103" s="29">
        <f t="shared" si="12"/>
        <v>0</v>
      </c>
      <c r="G103" s="8">
        <f t="shared" si="13"/>
        <v>3.3000000000000002E-2</v>
      </c>
      <c r="H103" s="24">
        <f t="shared" si="15"/>
        <v>0.03</v>
      </c>
      <c r="I103" s="29">
        <f t="shared" si="17"/>
        <v>0</v>
      </c>
      <c r="J103" s="29">
        <f t="shared" si="18"/>
        <v>0</v>
      </c>
      <c r="K103" s="29">
        <f t="shared" si="19"/>
        <v>0</v>
      </c>
      <c r="L103" s="29">
        <f t="shared" si="20"/>
        <v>0</v>
      </c>
      <c r="M103" s="13">
        <f t="shared" si="16"/>
        <v>0</v>
      </c>
    </row>
    <row r="104" spans="2:13" x14ac:dyDescent="0.35">
      <c r="B104" s="7">
        <v>2002</v>
      </c>
      <c r="C104" s="29">
        <f t="shared" si="9"/>
        <v>179.59920000000002</v>
      </c>
      <c r="D104" s="29">
        <f t="shared" si="10"/>
        <v>0</v>
      </c>
      <c r="E104" s="29">
        <f t="shared" si="11"/>
        <v>0</v>
      </c>
      <c r="F104" s="29">
        <f t="shared" si="12"/>
        <v>0</v>
      </c>
      <c r="G104" s="8">
        <f t="shared" si="13"/>
        <v>1.7000000000000001E-2</v>
      </c>
      <c r="H104" s="24">
        <f t="shared" si="15"/>
        <v>1.7000000000000001E-2</v>
      </c>
      <c r="I104" s="29">
        <f t="shared" si="17"/>
        <v>179.59920000000002</v>
      </c>
      <c r="J104" s="29">
        <f t="shared" si="18"/>
        <v>0</v>
      </c>
      <c r="K104" s="29">
        <f t="shared" si="19"/>
        <v>0</v>
      </c>
      <c r="L104" s="29">
        <f t="shared" si="20"/>
        <v>0</v>
      </c>
      <c r="M104" s="13">
        <f t="shared" si="16"/>
        <v>179.59920000000002</v>
      </c>
    </row>
    <row r="105" spans="2:13" x14ac:dyDescent="0.35">
      <c r="B105" s="7">
        <v>2003</v>
      </c>
      <c r="C105" s="29">
        <f t="shared" si="9"/>
        <v>0</v>
      </c>
      <c r="D105" s="29">
        <f t="shared" si="10"/>
        <v>0</v>
      </c>
      <c r="E105" s="29">
        <f t="shared" si="11"/>
        <v>0</v>
      </c>
      <c r="F105" s="29">
        <f t="shared" si="12"/>
        <v>0</v>
      </c>
      <c r="G105" s="8">
        <f t="shared" si="13"/>
        <v>1.7000000000000001E-2</v>
      </c>
      <c r="H105" s="24">
        <f t="shared" si="15"/>
        <v>1.7000000000000001E-2</v>
      </c>
      <c r="I105" s="29">
        <f t="shared" si="17"/>
        <v>182.65238640000001</v>
      </c>
      <c r="J105" s="29">
        <f t="shared" si="18"/>
        <v>0</v>
      </c>
      <c r="K105" s="29">
        <f t="shared" si="19"/>
        <v>0</v>
      </c>
      <c r="L105" s="29">
        <f t="shared" si="20"/>
        <v>0</v>
      </c>
      <c r="M105" s="13">
        <f t="shared" si="16"/>
        <v>182.65238640000001</v>
      </c>
    </row>
    <row r="106" spans="2:13" x14ac:dyDescent="0.35">
      <c r="B106" s="7">
        <v>2004</v>
      </c>
      <c r="C106" s="29">
        <f t="shared" si="9"/>
        <v>0</v>
      </c>
      <c r="D106" s="29">
        <f t="shared" si="10"/>
        <v>0</v>
      </c>
      <c r="E106" s="29">
        <f t="shared" si="11"/>
        <v>0</v>
      </c>
      <c r="F106" s="29">
        <f t="shared" si="12"/>
        <v>0</v>
      </c>
      <c r="G106" s="8">
        <f t="shared" si="13"/>
        <v>2.8000000000000001E-2</v>
      </c>
      <c r="H106" s="24">
        <f t="shared" si="15"/>
        <v>2.8000000000000001E-2</v>
      </c>
      <c r="I106" s="29">
        <f t="shared" si="17"/>
        <v>187.76665321920001</v>
      </c>
      <c r="J106" s="29">
        <f t="shared" si="18"/>
        <v>0</v>
      </c>
      <c r="K106" s="29">
        <f t="shared" si="19"/>
        <v>0</v>
      </c>
      <c r="L106" s="29">
        <f t="shared" si="20"/>
        <v>0</v>
      </c>
      <c r="M106" s="13">
        <f t="shared" si="16"/>
        <v>187.76665321920001</v>
      </c>
    </row>
    <row r="107" spans="2:13" x14ac:dyDescent="0.35">
      <c r="B107" s="7">
        <v>2005</v>
      </c>
      <c r="C107" s="29">
        <f t="shared" si="9"/>
        <v>0</v>
      </c>
      <c r="D107" s="29">
        <f t="shared" si="10"/>
        <v>0</v>
      </c>
      <c r="E107" s="29">
        <f t="shared" si="11"/>
        <v>0</v>
      </c>
      <c r="F107" s="29">
        <f t="shared" si="12"/>
        <v>0</v>
      </c>
      <c r="G107" s="8">
        <f t="shared" si="13"/>
        <v>3.1E-2</v>
      </c>
      <c r="H107" s="24">
        <f t="shared" si="15"/>
        <v>0.03</v>
      </c>
      <c r="I107" s="29">
        <f t="shared" si="17"/>
        <v>193.58741946899519</v>
      </c>
      <c r="J107" s="29">
        <f t="shared" si="18"/>
        <v>0</v>
      </c>
      <c r="K107" s="29">
        <f t="shared" si="19"/>
        <v>0</v>
      </c>
      <c r="L107" s="29">
        <f t="shared" si="20"/>
        <v>0</v>
      </c>
      <c r="M107" s="13">
        <f t="shared" si="16"/>
        <v>193.58741946899519</v>
      </c>
    </row>
    <row r="108" spans="2:13" x14ac:dyDescent="0.35">
      <c r="B108" s="7">
        <v>2006</v>
      </c>
      <c r="C108" s="29">
        <f t="shared" si="9"/>
        <v>0</v>
      </c>
      <c r="D108" s="29">
        <f t="shared" si="10"/>
        <v>0</v>
      </c>
      <c r="E108" s="29">
        <f t="shared" si="11"/>
        <v>0</v>
      </c>
      <c r="F108" s="29">
        <f t="shared" si="12"/>
        <v>0</v>
      </c>
      <c r="G108" s="8">
        <f t="shared" si="13"/>
        <v>2.7E-2</v>
      </c>
      <c r="H108" s="24">
        <f t="shared" si="15"/>
        <v>2.7E-2</v>
      </c>
      <c r="I108" s="29">
        <f t="shared" si="17"/>
        <v>198.81427979465803</v>
      </c>
      <c r="J108" s="29">
        <f t="shared" si="18"/>
        <v>0</v>
      </c>
      <c r="K108" s="29">
        <f t="shared" si="19"/>
        <v>0</v>
      </c>
      <c r="L108" s="29">
        <f t="shared" si="20"/>
        <v>0</v>
      </c>
      <c r="M108" s="13">
        <f t="shared" si="16"/>
        <v>198.81427979465803</v>
      </c>
    </row>
    <row r="109" spans="2:13" x14ac:dyDescent="0.35">
      <c r="B109" s="7">
        <v>2007</v>
      </c>
      <c r="C109" s="29">
        <f t="shared" si="9"/>
        <v>0</v>
      </c>
      <c r="D109" s="29">
        <f t="shared" si="10"/>
        <v>507.53</v>
      </c>
      <c r="E109" s="29">
        <f t="shared" si="11"/>
        <v>0</v>
      </c>
      <c r="F109" s="29">
        <f t="shared" si="12"/>
        <v>672.36</v>
      </c>
      <c r="G109" s="8">
        <f t="shared" si="13"/>
        <v>3.5999999999999997E-2</v>
      </c>
      <c r="H109" s="24">
        <f t="shared" si="15"/>
        <v>0.03</v>
      </c>
      <c r="I109" s="29">
        <f t="shared" si="17"/>
        <v>205.97159386726574</v>
      </c>
      <c r="J109" s="29">
        <f t="shared" si="18"/>
        <v>507.53</v>
      </c>
      <c r="K109" s="29">
        <f t="shared" si="19"/>
        <v>0</v>
      </c>
      <c r="L109" s="29">
        <f t="shared" si="20"/>
        <v>672.36</v>
      </c>
      <c r="M109" s="13">
        <f t="shared" si="16"/>
        <v>1385.8615938672656</v>
      </c>
    </row>
    <row r="110" spans="2:13" x14ac:dyDescent="0.35">
      <c r="B110" s="7">
        <v>2008</v>
      </c>
      <c r="C110" s="29">
        <f t="shared" si="9"/>
        <v>0</v>
      </c>
      <c r="D110" s="29">
        <f t="shared" si="10"/>
        <v>0</v>
      </c>
      <c r="E110" s="29">
        <f t="shared" si="11"/>
        <v>0</v>
      </c>
      <c r="F110" s="29">
        <f t="shared" si="12"/>
        <v>0</v>
      </c>
      <c r="G110" s="8">
        <f t="shared" si="13"/>
        <v>3.9E-2</v>
      </c>
      <c r="H110" s="24">
        <f t="shared" si="15"/>
        <v>0.03</v>
      </c>
      <c r="I110" s="29">
        <f t="shared" si="17"/>
        <v>214.00448602808908</v>
      </c>
      <c r="J110" s="29">
        <f t="shared" si="18"/>
        <v>527.32366999999988</v>
      </c>
      <c r="K110" s="29">
        <f t="shared" si="19"/>
        <v>0</v>
      </c>
      <c r="L110" s="29">
        <f t="shared" si="20"/>
        <v>692.5308</v>
      </c>
      <c r="M110" s="13">
        <f t="shared" si="16"/>
        <v>1433.8589560280889</v>
      </c>
    </row>
    <row r="111" spans="2:13" x14ac:dyDescent="0.35">
      <c r="B111" s="7">
        <v>2009</v>
      </c>
      <c r="C111" s="29">
        <f t="shared" si="9"/>
        <v>0</v>
      </c>
      <c r="D111" s="29">
        <f t="shared" si="10"/>
        <v>0</v>
      </c>
      <c r="E111" s="29">
        <f t="shared" si="11"/>
        <v>0</v>
      </c>
      <c r="F111" s="29">
        <f t="shared" si="12"/>
        <v>0</v>
      </c>
      <c r="G111" s="8">
        <f t="shared" si="13"/>
        <v>0.05</v>
      </c>
      <c r="H111" s="24">
        <f t="shared" si="15"/>
        <v>0.03</v>
      </c>
      <c r="I111" s="29">
        <f t="shared" si="17"/>
        <v>224.70471032949354</v>
      </c>
      <c r="J111" s="29">
        <f t="shared" si="18"/>
        <v>553.68985349999991</v>
      </c>
      <c r="K111" s="29">
        <f t="shared" si="19"/>
        <v>0</v>
      </c>
      <c r="L111" s="29">
        <f t="shared" si="20"/>
        <v>713.30672400000003</v>
      </c>
      <c r="M111" s="13">
        <f t="shared" si="16"/>
        <v>1491.7012878294936</v>
      </c>
    </row>
    <row r="112" spans="2:13" x14ac:dyDescent="0.35">
      <c r="B112" s="7">
        <v>2010</v>
      </c>
      <c r="C112" s="29">
        <f t="shared" si="9"/>
        <v>0</v>
      </c>
      <c r="D112" s="29">
        <f t="shared" si="10"/>
        <v>0</v>
      </c>
      <c r="E112" s="29">
        <f t="shared" si="11"/>
        <v>0</v>
      </c>
      <c r="F112" s="29">
        <f t="shared" si="12"/>
        <v>0</v>
      </c>
      <c r="G112" s="8">
        <f t="shared" si="13"/>
        <v>0</v>
      </c>
      <c r="H112" s="24">
        <f t="shared" si="15"/>
        <v>0</v>
      </c>
      <c r="I112" s="29">
        <f t="shared" si="17"/>
        <v>224.70471032949354</v>
      </c>
      <c r="J112" s="29">
        <f t="shared" si="18"/>
        <v>553.68985349999991</v>
      </c>
      <c r="K112" s="29">
        <f t="shared" si="19"/>
        <v>0</v>
      </c>
      <c r="L112" s="29">
        <f t="shared" si="20"/>
        <v>713.30672400000003</v>
      </c>
      <c r="M112" s="13">
        <f t="shared" si="16"/>
        <v>1491.7012878294936</v>
      </c>
    </row>
    <row r="113" spans="2:13" x14ac:dyDescent="0.35">
      <c r="B113" s="7">
        <v>2011</v>
      </c>
      <c r="C113" s="29">
        <f t="shared" si="9"/>
        <v>0</v>
      </c>
      <c r="D113" s="29">
        <f t="shared" si="10"/>
        <v>0</v>
      </c>
      <c r="E113" s="29">
        <f t="shared" si="11"/>
        <v>0</v>
      </c>
      <c r="F113" s="29">
        <f t="shared" si="12"/>
        <v>0</v>
      </c>
      <c r="G113" s="8">
        <f t="shared" si="13"/>
        <v>3.1E-2</v>
      </c>
      <c r="H113" s="24">
        <f t="shared" si="15"/>
        <v>0.03</v>
      </c>
      <c r="I113" s="29">
        <f t="shared" si="17"/>
        <v>231.67055634970782</v>
      </c>
      <c r="J113" s="29">
        <f t="shared" si="18"/>
        <v>570.85423895849988</v>
      </c>
      <c r="K113" s="29">
        <f t="shared" si="19"/>
        <v>0</v>
      </c>
      <c r="L113" s="29">
        <f t="shared" si="20"/>
        <v>734.7059257200001</v>
      </c>
      <c r="M113" s="13">
        <f t="shared" si="16"/>
        <v>1537.2307210282079</v>
      </c>
    </row>
    <row r="114" spans="2:13" x14ac:dyDescent="0.35">
      <c r="B114" s="7">
        <v>2012</v>
      </c>
      <c r="C114" s="29">
        <f t="shared" si="9"/>
        <v>0</v>
      </c>
      <c r="D114" s="29">
        <f t="shared" si="10"/>
        <v>0</v>
      </c>
      <c r="E114" s="29">
        <f t="shared" si="11"/>
        <v>0</v>
      </c>
      <c r="F114" s="29">
        <f t="shared" si="12"/>
        <v>0</v>
      </c>
      <c r="G114" s="8">
        <f t="shared" si="13"/>
        <v>5.1999999999999998E-2</v>
      </c>
      <c r="H114" s="24">
        <f t="shared" si="15"/>
        <v>0.03</v>
      </c>
      <c r="I114" s="29">
        <f t="shared" si="17"/>
        <v>243.71742527989264</v>
      </c>
      <c r="J114" s="29">
        <f t="shared" si="18"/>
        <v>600.53865938434194</v>
      </c>
      <c r="K114" s="29">
        <f t="shared" si="19"/>
        <v>0</v>
      </c>
      <c r="L114" s="29">
        <f t="shared" si="20"/>
        <v>756.74710349160011</v>
      </c>
      <c r="M114" s="13">
        <f t="shared" si="16"/>
        <v>1601.0031881558348</v>
      </c>
    </row>
    <row r="115" spans="2:13" x14ac:dyDescent="0.35">
      <c r="B115" s="7">
        <v>2013</v>
      </c>
      <c r="C115" s="29">
        <f t="shared" si="9"/>
        <v>0</v>
      </c>
      <c r="D115" s="29">
        <f t="shared" si="10"/>
        <v>0</v>
      </c>
      <c r="E115" s="29">
        <f t="shared" si="11"/>
        <v>0</v>
      </c>
      <c r="F115" s="29">
        <f t="shared" si="12"/>
        <v>0</v>
      </c>
      <c r="G115" s="8">
        <f t="shared" si="13"/>
        <v>2.1999999999999999E-2</v>
      </c>
      <c r="H115" s="24">
        <f t="shared" si="15"/>
        <v>2.1999999999999999E-2</v>
      </c>
      <c r="I115" s="29">
        <f t="shared" si="17"/>
        <v>249.07920863605028</v>
      </c>
      <c r="J115" s="29">
        <f t="shared" si="18"/>
        <v>613.7505098907975</v>
      </c>
      <c r="K115" s="29">
        <f t="shared" si="19"/>
        <v>0</v>
      </c>
      <c r="L115" s="29">
        <f t="shared" si="20"/>
        <v>773.39553976841535</v>
      </c>
      <c r="M115" s="13">
        <f t="shared" si="16"/>
        <v>1636.2252582952631</v>
      </c>
    </row>
    <row r="116" spans="2:13" x14ac:dyDescent="0.35">
      <c r="B116" s="7">
        <v>2014</v>
      </c>
      <c r="C116" s="29">
        <f t="shared" si="9"/>
        <v>0</v>
      </c>
      <c r="D116" s="29">
        <f t="shared" si="10"/>
        <v>0</v>
      </c>
      <c r="E116" s="29">
        <f t="shared" si="11"/>
        <v>0</v>
      </c>
      <c r="F116" s="29">
        <f t="shared" si="12"/>
        <v>0</v>
      </c>
      <c r="G116" s="8">
        <f t="shared" si="13"/>
        <v>2.7E-2</v>
      </c>
      <c r="H116" s="24">
        <f t="shared" si="15"/>
        <v>2.7E-2</v>
      </c>
      <c r="I116" s="29">
        <f t="shared" si="17"/>
        <v>255.80434726922363</v>
      </c>
      <c r="J116" s="29">
        <f t="shared" si="18"/>
        <v>630.32177365784901</v>
      </c>
      <c r="K116" s="29">
        <f t="shared" si="19"/>
        <v>0</v>
      </c>
      <c r="L116" s="29">
        <f t="shared" si="20"/>
        <v>794.27721934216254</v>
      </c>
      <c r="M116" s="13">
        <f t="shared" si="16"/>
        <v>1680.4033402692353</v>
      </c>
    </row>
    <row r="117" spans="2:13" x14ac:dyDescent="0.35">
      <c r="B117" s="7">
        <v>2015</v>
      </c>
      <c r="C117" s="29">
        <f t="shared" si="9"/>
        <v>0</v>
      </c>
      <c r="D117" s="29">
        <f t="shared" si="10"/>
        <v>0</v>
      </c>
      <c r="E117" s="29">
        <f t="shared" si="11"/>
        <v>0</v>
      </c>
      <c r="F117" s="29">
        <f t="shared" si="12"/>
        <v>0</v>
      </c>
      <c r="G117" s="8">
        <f t="shared" si="13"/>
        <v>1.2E-2</v>
      </c>
      <c r="H117" s="24">
        <f t="shared" si="15"/>
        <v>1.2E-2</v>
      </c>
      <c r="I117" s="29">
        <f t="shared" si="17"/>
        <v>258.87399943645431</v>
      </c>
      <c r="J117" s="29">
        <f t="shared" si="18"/>
        <v>637.88563494174321</v>
      </c>
      <c r="K117" s="29">
        <f t="shared" si="19"/>
        <v>0</v>
      </c>
      <c r="L117" s="29">
        <f t="shared" si="20"/>
        <v>803.80854597426855</v>
      </c>
      <c r="M117" s="13">
        <f t="shared" si="16"/>
        <v>1700.568180352466</v>
      </c>
    </row>
    <row r="118" spans="2:13" x14ac:dyDescent="0.35">
      <c r="B118" s="7">
        <v>2016</v>
      </c>
      <c r="C118" s="29">
        <f t="shared" si="9"/>
        <v>0</v>
      </c>
      <c r="D118" s="29">
        <f t="shared" si="10"/>
        <v>0</v>
      </c>
      <c r="E118" s="29">
        <f t="shared" si="11"/>
        <v>0</v>
      </c>
      <c r="F118" s="29">
        <f t="shared" si="12"/>
        <v>0</v>
      </c>
      <c r="G118" s="8">
        <f t="shared" si="13"/>
        <v>0</v>
      </c>
      <c r="H118" s="24">
        <f t="shared" si="15"/>
        <v>0</v>
      </c>
      <c r="I118" s="29">
        <f t="shared" si="17"/>
        <v>258.87399943645431</v>
      </c>
      <c r="J118" s="29">
        <f t="shared" si="18"/>
        <v>637.88563494174321</v>
      </c>
      <c r="K118" s="29">
        <f t="shared" si="19"/>
        <v>0</v>
      </c>
      <c r="L118" s="29">
        <f t="shared" si="20"/>
        <v>803.80854597426855</v>
      </c>
      <c r="M118" s="13">
        <f t="shared" si="16"/>
        <v>1700.568180352466</v>
      </c>
    </row>
    <row r="119" spans="2:13" x14ac:dyDescent="0.35">
      <c r="B119" s="7">
        <v>2017</v>
      </c>
      <c r="C119" s="29">
        <f t="shared" si="9"/>
        <v>0</v>
      </c>
      <c r="D119" s="29">
        <f t="shared" si="10"/>
        <v>0</v>
      </c>
      <c r="E119" s="29">
        <f t="shared" si="11"/>
        <v>0</v>
      </c>
      <c r="F119" s="29">
        <f t="shared" si="12"/>
        <v>0</v>
      </c>
      <c r="G119" s="8">
        <f t="shared" si="13"/>
        <v>0.01</v>
      </c>
      <c r="H119" s="24">
        <f t="shared" si="15"/>
        <v>0.01</v>
      </c>
      <c r="I119" s="29">
        <f t="shared" si="17"/>
        <v>261.46273943081889</v>
      </c>
      <c r="J119" s="29">
        <f t="shared" si="18"/>
        <v>644.26449129116065</v>
      </c>
      <c r="K119" s="29">
        <f t="shared" si="19"/>
        <v>0</v>
      </c>
      <c r="L119" s="29">
        <f t="shared" si="20"/>
        <v>811.84663143401121</v>
      </c>
      <c r="M119" s="13">
        <f t="shared" si="16"/>
        <v>1717.5738621559908</v>
      </c>
    </row>
    <row r="120" spans="2:13" x14ac:dyDescent="0.35">
      <c r="B120" s="7">
        <v>2018</v>
      </c>
      <c r="C120" s="29">
        <f t="shared" si="9"/>
        <v>0</v>
      </c>
      <c r="D120" s="29">
        <f t="shared" si="10"/>
        <v>0</v>
      </c>
      <c r="E120" s="29">
        <f t="shared" si="11"/>
        <v>0</v>
      </c>
      <c r="F120" s="29">
        <f t="shared" si="12"/>
        <v>0</v>
      </c>
      <c r="G120" s="8">
        <f t="shared" si="13"/>
        <v>0.03</v>
      </c>
      <c r="H120" s="24">
        <f t="shared" si="15"/>
        <v>0.03</v>
      </c>
      <c r="I120" s="29">
        <f t="shared" si="17"/>
        <v>269.30662161374346</v>
      </c>
      <c r="J120" s="29">
        <f t="shared" si="18"/>
        <v>663.59242602989548</v>
      </c>
      <c r="K120" s="29">
        <f t="shared" si="19"/>
        <v>0</v>
      </c>
      <c r="L120" s="29">
        <f t="shared" si="20"/>
        <v>836.20203037703152</v>
      </c>
      <c r="M120" s="13">
        <f t="shared" si="16"/>
        <v>1769.1010780206705</v>
      </c>
    </row>
    <row r="121" spans="2:13" x14ac:dyDescent="0.35">
      <c r="B121" s="7">
        <v>2019</v>
      </c>
      <c r="C121" s="29">
        <f t="shared" si="9"/>
        <v>0</v>
      </c>
      <c r="D121" s="29">
        <f t="shared" si="10"/>
        <v>0</v>
      </c>
      <c r="E121" s="29">
        <f t="shared" si="11"/>
        <v>0</v>
      </c>
      <c r="F121" s="29">
        <f t="shared" si="12"/>
        <v>0</v>
      </c>
      <c r="G121" s="8">
        <f t="shared" si="13"/>
        <v>0.03</v>
      </c>
      <c r="H121" s="24">
        <f t="shared" si="15"/>
        <v>0.03</v>
      </c>
      <c r="I121" s="29">
        <f t="shared" si="17"/>
        <v>277.38582026215579</v>
      </c>
      <c r="J121" s="29">
        <f t="shared" si="18"/>
        <v>683.50019881079231</v>
      </c>
      <c r="K121" s="29">
        <f t="shared" si="19"/>
        <v>0</v>
      </c>
      <c r="L121" s="29">
        <f t="shared" si="20"/>
        <v>861.28809128834246</v>
      </c>
      <c r="M121" s="13">
        <f t="shared" si="16"/>
        <v>1822.1741103612906</v>
      </c>
    </row>
    <row r="122" spans="2:13" x14ac:dyDescent="0.35">
      <c r="B122" s="7">
        <v>2020</v>
      </c>
      <c r="C122" s="29">
        <f t="shared" si="9"/>
        <v>0</v>
      </c>
      <c r="D122" s="29">
        <f t="shared" si="10"/>
        <v>0</v>
      </c>
      <c r="E122" s="29">
        <f t="shared" si="11"/>
        <v>0</v>
      </c>
      <c r="F122" s="29">
        <f t="shared" si="12"/>
        <v>0</v>
      </c>
      <c r="G122" s="8">
        <f t="shared" si="13"/>
        <v>0.03</v>
      </c>
      <c r="H122" s="24">
        <f t="shared" si="15"/>
        <v>0.03</v>
      </c>
      <c r="I122" s="29">
        <f t="shared" si="17"/>
        <v>285.70739487002049</v>
      </c>
      <c r="J122" s="29">
        <f t="shared" si="18"/>
        <v>704.00520477511611</v>
      </c>
      <c r="K122" s="29">
        <f t="shared" si="19"/>
        <v>0</v>
      </c>
      <c r="L122" s="29">
        <f t="shared" si="20"/>
        <v>887.12673402699272</v>
      </c>
      <c r="M122" s="13">
        <f t="shared" si="16"/>
        <v>1876.8393336721292</v>
      </c>
    </row>
    <row r="123" spans="2:13" x14ac:dyDescent="0.35">
      <c r="B123" s="7">
        <v>2021</v>
      </c>
      <c r="C123" s="29">
        <f t="shared" si="9"/>
        <v>0</v>
      </c>
      <c r="D123" s="29">
        <f t="shared" si="10"/>
        <v>0</v>
      </c>
      <c r="E123" s="29">
        <f t="shared" si="11"/>
        <v>0</v>
      </c>
      <c r="F123" s="29">
        <f t="shared" si="12"/>
        <v>0</v>
      </c>
      <c r="G123" s="8">
        <f t="shared" si="13"/>
        <v>0.03</v>
      </c>
      <c r="H123" s="24">
        <f t="shared" si="15"/>
        <v>0.03</v>
      </c>
      <c r="I123" s="29">
        <f t="shared" si="17"/>
        <v>294.27861671612112</v>
      </c>
      <c r="J123" s="29">
        <f t="shared" si="18"/>
        <v>725.12536091836967</v>
      </c>
      <c r="K123" s="29">
        <f t="shared" si="19"/>
        <v>0</v>
      </c>
      <c r="L123" s="29">
        <f t="shared" si="20"/>
        <v>913.74053604780249</v>
      </c>
      <c r="M123" s="13">
        <f t="shared" si="16"/>
        <v>1933.1445136822931</v>
      </c>
    </row>
    <row r="124" spans="2:13" x14ac:dyDescent="0.35">
      <c r="B124" s="7">
        <v>2022</v>
      </c>
      <c r="C124" s="29">
        <f t="shared" si="9"/>
        <v>0</v>
      </c>
      <c r="D124" s="29">
        <f t="shared" si="10"/>
        <v>0</v>
      </c>
      <c r="E124" s="29">
        <f t="shared" si="11"/>
        <v>0</v>
      </c>
      <c r="F124" s="29">
        <f t="shared" si="12"/>
        <v>0</v>
      </c>
      <c r="G124" s="8">
        <f t="shared" si="13"/>
        <v>0.03</v>
      </c>
      <c r="H124" s="24">
        <f t="shared" si="15"/>
        <v>0.03</v>
      </c>
      <c r="I124" s="29">
        <f t="shared" si="17"/>
        <v>303.10697521760477</v>
      </c>
      <c r="J124" s="29">
        <f t="shared" si="18"/>
        <v>746.87912174592077</v>
      </c>
      <c r="K124" s="29">
        <f t="shared" si="19"/>
        <v>0</v>
      </c>
      <c r="L124" s="29">
        <f t="shared" si="20"/>
        <v>941.15275212923655</v>
      </c>
      <c r="M124" s="13">
        <f t="shared" si="16"/>
        <v>1991.138849092762</v>
      </c>
    </row>
    <row r="125" spans="2:13" x14ac:dyDescent="0.35">
      <c r="B125" s="7">
        <v>2023</v>
      </c>
      <c r="C125" s="29">
        <f t="shared" si="9"/>
        <v>0</v>
      </c>
      <c r="D125" s="29">
        <f t="shared" si="10"/>
        <v>0</v>
      </c>
      <c r="E125" s="29">
        <f t="shared" si="11"/>
        <v>0</v>
      </c>
      <c r="F125" s="29">
        <f t="shared" si="12"/>
        <v>0</v>
      </c>
      <c r="G125" s="8">
        <f t="shared" si="13"/>
        <v>0.03</v>
      </c>
      <c r="H125" s="24">
        <f t="shared" si="15"/>
        <v>0.03</v>
      </c>
      <c r="I125" s="29">
        <f t="shared" si="17"/>
        <v>312.20018447413293</v>
      </c>
      <c r="J125" s="29">
        <f t="shared" si="18"/>
        <v>769.28549539829839</v>
      </c>
      <c r="K125" s="29">
        <f t="shared" si="19"/>
        <v>0</v>
      </c>
      <c r="L125" s="29">
        <f t="shared" si="20"/>
        <v>969.38733469311364</v>
      </c>
      <c r="M125" s="13">
        <f t="shared" si="16"/>
        <v>2050.873014565545</v>
      </c>
    </row>
    <row r="126" spans="2:13" x14ac:dyDescent="0.35">
      <c r="B126" s="7">
        <v>2024</v>
      </c>
      <c r="C126" s="29">
        <f t="shared" si="9"/>
        <v>0</v>
      </c>
      <c r="D126" s="29">
        <f t="shared" si="10"/>
        <v>0</v>
      </c>
      <c r="E126" s="29">
        <f t="shared" si="11"/>
        <v>0</v>
      </c>
      <c r="F126" s="29">
        <f t="shared" si="12"/>
        <v>0</v>
      </c>
      <c r="G126" s="8">
        <f t="shared" si="13"/>
        <v>0.03</v>
      </c>
      <c r="H126" s="24">
        <f t="shared" si="15"/>
        <v>0.03</v>
      </c>
      <c r="I126" s="29">
        <f t="shared" si="17"/>
        <v>321.5661900083569</v>
      </c>
      <c r="J126" s="29">
        <f t="shared" si="18"/>
        <v>792.36406026024736</v>
      </c>
      <c r="K126" s="29">
        <f t="shared" si="19"/>
        <v>0</v>
      </c>
      <c r="L126" s="29">
        <f t="shared" si="20"/>
        <v>998.46895473390703</v>
      </c>
      <c r="M126" s="13">
        <f t="shared" si="16"/>
        <v>2112.3992050025113</v>
      </c>
    </row>
    <row r="127" spans="2:13" x14ac:dyDescent="0.35">
      <c r="B127" s="7">
        <v>2025</v>
      </c>
      <c r="C127" s="29">
        <f t="shared" si="9"/>
        <v>0</v>
      </c>
      <c r="D127" s="29">
        <f t="shared" si="10"/>
        <v>0</v>
      </c>
      <c r="E127" s="29">
        <f t="shared" si="11"/>
        <v>0</v>
      </c>
      <c r="F127" s="29">
        <f t="shared" si="12"/>
        <v>0</v>
      </c>
      <c r="G127" s="8">
        <f t="shared" si="13"/>
        <v>0.03</v>
      </c>
      <c r="H127" s="24">
        <f t="shared" si="15"/>
        <v>0.03</v>
      </c>
      <c r="I127" s="29">
        <f t="shared" si="17"/>
        <v>331.21317570860759</v>
      </c>
      <c r="J127" s="29">
        <f t="shared" si="18"/>
        <v>816.1349820680548</v>
      </c>
      <c r="K127" s="29">
        <f t="shared" si="19"/>
        <v>0</v>
      </c>
      <c r="L127" s="29">
        <f t="shared" si="20"/>
        <v>1028.4230233759242</v>
      </c>
      <c r="M127" s="13">
        <f t="shared" si="16"/>
        <v>2175.7711811525869</v>
      </c>
    </row>
  </sheetData>
  <mergeCells count="5">
    <mergeCell ref="I9:J9"/>
    <mergeCell ref="I10:J10"/>
    <mergeCell ref="C90:F90"/>
    <mergeCell ref="G90:H90"/>
    <mergeCell ref="I90:M90"/>
  </mergeCells>
  <phoneticPr fontId="5" type="noConversion"/>
  <dataValidations count="1">
    <dataValidation type="list" allowBlank="1" showInputMessage="1" showErrorMessage="1" sqref="C52" xr:uid="{EA6C8991-8D7D-4344-ACC1-8A2F953A3789}">
      <formula1>"Fixed,S148"</formula1>
    </dataValidation>
  </dataValidations>
  <pageMargins left="0.23622047244094491" right="0.23622047244094491" top="0.74803149606299213" bottom="0.74803149606299213" header="0.31496062992125984" footer="0.31496062992125984"/>
  <pageSetup paperSize="9" orientation="landscape" r:id="rId1"/>
  <headerFooter>
    <oddHeader>&amp;R&amp;F(&amp;A)</oddHeader>
    <oddFooter>&amp;L&amp;D &amp;T&amp;CPage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E0B34-FDFA-423A-8267-0D651F275963}">
  <dimension ref="A1:AT74"/>
  <sheetViews>
    <sheetView workbookViewId="0">
      <pane ySplit="2" topLeftCell="A49" activePane="bottomLeft" state="frozenSplit"/>
      <selection pane="bottomLeft" activeCell="A48" sqref="A48:A74"/>
    </sheetView>
    <sheetView workbookViewId="1"/>
  </sheetViews>
  <sheetFormatPr defaultRowHeight="14.5" x14ac:dyDescent="0.35"/>
  <cols>
    <col min="1" max="1" width="13.81640625" bestFit="1" customWidth="1"/>
    <col min="2" max="2" width="59.81640625" customWidth="1"/>
    <col min="3" max="3" width="37.36328125" customWidth="1"/>
  </cols>
  <sheetData>
    <row r="1" spans="1:46" x14ac:dyDescent="0.35">
      <c r="A1" t="s">
        <v>5</v>
      </c>
    </row>
    <row r="2" spans="1:46" x14ac:dyDescent="0.35">
      <c r="B2" t="s">
        <v>1</v>
      </c>
      <c r="C2" t="s">
        <v>2</v>
      </c>
      <c r="D2" s="2">
        <v>1979</v>
      </c>
      <c r="E2" s="2">
        <v>1980</v>
      </c>
      <c r="F2" s="2">
        <v>1981</v>
      </c>
      <c r="G2" s="2">
        <v>1982</v>
      </c>
      <c r="H2" s="2">
        <v>1983</v>
      </c>
      <c r="I2" s="2">
        <v>1984</v>
      </c>
      <c r="J2" s="2">
        <v>1985</v>
      </c>
      <c r="K2" s="2">
        <v>1986</v>
      </c>
      <c r="L2" s="2">
        <v>1987</v>
      </c>
      <c r="M2" s="2">
        <v>1988</v>
      </c>
      <c r="N2" s="2">
        <v>1989</v>
      </c>
      <c r="O2" s="2">
        <v>1990</v>
      </c>
      <c r="P2" s="2">
        <v>1991</v>
      </c>
      <c r="Q2" s="2">
        <v>1992</v>
      </c>
      <c r="R2" s="2">
        <v>1993</v>
      </c>
      <c r="S2" s="2">
        <v>1994</v>
      </c>
      <c r="T2" s="2">
        <v>1995</v>
      </c>
      <c r="U2" s="2">
        <v>1996</v>
      </c>
      <c r="V2" s="2">
        <v>1997</v>
      </c>
      <c r="W2" s="2">
        <v>1998</v>
      </c>
      <c r="X2" s="2">
        <v>1999</v>
      </c>
      <c r="Y2" s="2">
        <v>2000</v>
      </c>
      <c r="Z2" s="2">
        <v>2001</v>
      </c>
      <c r="AA2" s="2">
        <v>2002</v>
      </c>
      <c r="AB2" s="2">
        <v>2003</v>
      </c>
      <c r="AC2" s="2">
        <v>2004</v>
      </c>
      <c r="AD2" s="2">
        <v>2005</v>
      </c>
      <c r="AE2" s="2">
        <v>2006</v>
      </c>
      <c r="AF2" s="2">
        <v>2007</v>
      </c>
      <c r="AG2" s="2">
        <v>2008</v>
      </c>
      <c r="AH2" s="2">
        <v>2009</v>
      </c>
      <c r="AI2" s="2">
        <v>2010</v>
      </c>
      <c r="AJ2" s="2">
        <v>2011</v>
      </c>
      <c r="AK2" s="2">
        <v>2012</v>
      </c>
      <c r="AL2" s="2">
        <v>2013</v>
      </c>
      <c r="AM2" s="2">
        <v>2014</v>
      </c>
      <c r="AN2" s="2">
        <v>2015</v>
      </c>
      <c r="AO2" s="2">
        <v>2016</v>
      </c>
      <c r="AP2" s="2">
        <v>2017</v>
      </c>
      <c r="AQ2" s="2">
        <v>2018</v>
      </c>
      <c r="AR2" s="2">
        <v>2019</v>
      </c>
      <c r="AS2" s="2">
        <v>2020</v>
      </c>
      <c r="AT2" s="2">
        <v>2021</v>
      </c>
    </row>
    <row r="3" spans="1:46" x14ac:dyDescent="0.35">
      <c r="A3">
        <v>1979</v>
      </c>
    </row>
    <row r="4" spans="1:46" x14ac:dyDescent="0.35">
      <c r="A4">
        <v>1980</v>
      </c>
    </row>
    <row r="5" spans="1:46" x14ac:dyDescent="0.35">
      <c r="A5">
        <v>1981</v>
      </c>
    </row>
    <row r="6" spans="1:46" x14ac:dyDescent="0.35">
      <c r="A6">
        <v>1982</v>
      </c>
    </row>
    <row r="7" spans="1:46" x14ac:dyDescent="0.35">
      <c r="A7">
        <v>1983</v>
      </c>
    </row>
    <row r="8" spans="1:46" x14ac:dyDescent="0.35">
      <c r="A8">
        <v>1984</v>
      </c>
    </row>
    <row r="9" spans="1:46" x14ac:dyDescent="0.35">
      <c r="A9">
        <v>1985</v>
      </c>
    </row>
    <row r="10" spans="1:46" x14ac:dyDescent="0.35">
      <c r="A10">
        <v>1986</v>
      </c>
    </row>
    <row r="11" spans="1:46" x14ac:dyDescent="0.35">
      <c r="A11">
        <v>1987</v>
      </c>
    </row>
    <row r="12" spans="1:46" x14ac:dyDescent="0.35">
      <c r="A12">
        <v>1988</v>
      </c>
    </row>
    <row r="13" spans="1:46" x14ac:dyDescent="0.35">
      <c r="A13">
        <v>1989</v>
      </c>
    </row>
    <row r="14" spans="1:46" x14ac:dyDescent="0.35">
      <c r="A14">
        <v>1990</v>
      </c>
    </row>
    <row r="15" spans="1:46" x14ac:dyDescent="0.35">
      <c r="A15">
        <v>1991</v>
      </c>
      <c r="B15" s="1" t="s">
        <v>0</v>
      </c>
      <c r="C15" s="1" t="s">
        <v>3</v>
      </c>
      <c r="D15" s="2">
        <v>267.10000000000002</v>
      </c>
      <c r="E15" s="2">
        <v>223.8</v>
      </c>
      <c r="F15" s="2">
        <v>170.6</v>
      </c>
      <c r="G15" s="2">
        <v>126.9</v>
      </c>
      <c r="H15" s="2">
        <v>105.9</v>
      </c>
      <c r="I15" s="2">
        <v>90.9</v>
      </c>
      <c r="J15" s="2">
        <v>76.7</v>
      </c>
      <c r="K15" s="2">
        <v>65.8</v>
      </c>
      <c r="L15" s="2">
        <v>52.3</v>
      </c>
      <c r="M15" s="2">
        <v>41.9</v>
      </c>
      <c r="N15" s="2">
        <v>30.4</v>
      </c>
      <c r="O15" s="2">
        <v>18.2</v>
      </c>
      <c r="P15" s="2">
        <v>10.1</v>
      </c>
    </row>
    <row r="16" spans="1:46" x14ac:dyDescent="0.35">
      <c r="A16">
        <v>1992</v>
      </c>
    </row>
    <row r="17" spans="1:27" x14ac:dyDescent="0.35">
      <c r="A17">
        <v>1993</v>
      </c>
    </row>
    <row r="18" spans="1:27" x14ac:dyDescent="0.35">
      <c r="A18">
        <v>1994</v>
      </c>
    </row>
    <row r="19" spans="1:27" x14ac:dyDescent="0.35">
      <c r="A19">
        <v>1995</v>
      </c>
    </row>
    <row r="20" spans="1:27" x14ac:dyDescent="0.35">
      <c r="A20">
        <v>1996</v>
      </c>
    </row>
    <row r="21" spans="1:27" x14ac:dyDescent="0.35">
      <c r="A21">
        <v>1997</v>
      </c>
    </row>
    <row r="22" spans="1:27" x14ac:dyDescent="0.35">
      <c r="A22">
        <v>1998</v>
      </c>
    </row>
    <row r="23" spans="1:27" x14ac:dyDescent="0.35">
      <c r="A23">
        <v>1999</v>
      </c>
    </row>
    <row r="24" spans="1:27" x14ac:dyDescent="0.35">
      <c r="A24">
        <v>2000</v>
      </c>
    </row>
    <row r="25" spans="1:27" x14ac:dyDescent="0.35">
      <c r="A25">
        <v>2001</v>
      </c>
    </row>
    <row r="26" spans="1:27" x14ac:dyDescent="0.35">
      <c r="A26">
        <v>2002</v>
      </c>
      <c r="B26" s="1" t="s">
        <v>95</v>
      </c>
      <c r="C26" s="1" t="s">
        <v>96</v>
      </c>
      <c r="D26" s="2">
        <v>500.7</v>
      </c>
      <c r="E26" s="2">
        <v>430.2</v>
      </c>
      <c r="F26" s="2">
        <v>342.9</v>
      </c>
      <c r="G26" s="2">
        <v>270.89999999999998</v>
      </c>
      <c r="H26" s="2">
        <v>236.9</v>
      </c>
      <c r="I26" s="2">
        <v>212.8</v>
      </c>
      <c r="J26" s="2">
        <v>189.7</v>
      </c>
      <c r="K26" s="2">
        <v>171.7</v>
      </c>
      <c r="L26" s="2">
        <v>149.5</v>
      </c>
      <c r="M26" s="2">
        <v>132.30000000000001</v>
      </c>
      <c r="N26" s="2">
        <v>113.7</v>
      </c>
      <c r="O26" s="2">
        <v>92.9</v>
      </c>
      <c r="P26" s="2">
        <v>79.8</v>
      </c>
      <c r="Q26" s="2">
        <v>63.3</v>
      </c>
      <c r="R26" s="2">
        <v>53.3</v>
      </c>
      <c r="S26" s="2">
        <v>46</v>
      </c>
      <c r="T26" s="2">
        <v>41.6</v>
      </c>
      <c r="U26" s="2">
        <v>35.700000000000003</v>
      </c>
      <c r="V26" s="2">
        <v>32</v>
      </c>
      <c r="W26" s="2">
        <v>25.7</v>
      </c>
      <c r="X26" s="2">
        <v>20.100000000000001</v>
      </c>
      <c r="Y26" s="2">
        <v>15.3</v>
      </c>
      <c r="Z26" s="2">
        <v>8.5</v>
      </c>
      <c r="AA26" s="2">
        <v>4.3</v>
      </c>
    </row>
    <row r="27" spans="1:27" x14ac:dyDescent="0.35">
      <c r="A27">
        <v>2003</v>
      </c>
    </row>
    <row r="28" spans="1:27" x14ac:dyDescent="0.35">
      <c r="A28">
        <v>2004</v>
      </c>
    </row>
    <row r="29" spans="1:27" x14ac:dyDescent="0.35">
      <c r="A29">
        <v>2005</v>
      </c>
    </row>
    <row r="30" spans="1:27" x14ac:dyDescent="0.35">
      <c r="A30">
        <v>2006</v>
      </c>
    </row>
    <row r="31" spans="1:27" x14ac:dyDescent="0.35">
      <c r="A31">
        <v>2007</v>
      </c>
    </row>
    <row r="32" spans="1:27" x14ac:dyDescent="0.35">
      <c r="A32">
        <v>2008</v>
      </c>
    </row>
    <row r="33" spans="1:45" x14ac:dyDescent="0.35">
      <c r="A33">
        <v>2009</v>
      </c>
    </row>
    <row r="34" spans="1:45" x14ac:dyDescent="0.35">
      <c r="A34">
        <v>2010</v>
      </c>
      <c r="B34" s="1" t="s">
        <v>150</v>
      </c>
      <c r="C34" s="1" t="s">
        <v>151</v>
      </c>
      <c r="D34">
        <v>686.9</v>
      </c>
      <c r="E34">
        <v>594.5</v>
      </c>
      <c r="F34">
        <v>480.2</v>
      </c>
      <c r="G34">
        <v>385.9</v>
      </c>
      <c r="H34">
        <v>341.4</v>
      </c>
      <c r="I34">
        <v>309.8</v>
      </c>
      <c r="J34">
        <v>279.5</v>
      </c>
      <c r="K34">
        <v>256</v>
      </c>
      <c r="L34">
        <v>226.9</v>
      </c>
      <c r="M34">
        <v>204.3</v>
      </c>
      <c r="N34">
        <v>180</v>
      </c>
      <c r="O34">
        <v>152.69999999999999</v>
      </c>
      <c r="P34">
        <v>135.5</v>
      </c>
      <c r="Q34">
        <v>113.9</v>
      </c>
      <c r="R34">
        <v>100.8</v>
      </c>
      <c r="S34">
        <v>91.3</v>
      </c>
      <c r="T34">
        <v>85.5</v>
      </c>
      <c r="U34">
        <v>77.7</v>
      </c>
      <c r="V34">
        <v>72.900000000000006</v>
      </c>
      <c r="W34">
        <v>64.599999999999994</v>
      </c>
      <c r="X34">
        <v>57.4</v>
      </c>
      <c r="Y34">
        <v>51.1</v>
      </c>
      <c r="Z34">
        <v>42.1</v>
      </c>
      <c r="AA34">
        <v>36.6</v>
      </c>
      <c r="AB34">
        <v>31</v>
      </c>
      <c r="AC34">
        <v>26.5</v>
      </c>
      <c r="AD34">
        <v>21.8</v>
      </c>
      <c r="AE34">
        <v>17</v>
      </c>
      <c r="AF34">
        <v>13.2</v>
      </c>
      <c r="AG34">
        <v>8.6999999999999993</v>
      </c>
      <c r="AH34">
        <v>4.3</v>
      </c>
      <c r="AI34">
        <v>1.2</v>
      </c>
    </row>
    <row r="35" spans="1:45" x14ac:dyDescent="0.35">
      <c r="A35">
        <v>2011</v>
      </c>
    </row>
    <row r="36" spans="1:45" x14ac:dyDescent="0.35">
      <c r="A36">
        <v>2012</v>
      </c>
    </row>
    <row r="37" spans="1:45" x14ac:dyDescent="0.35">
      <c r="A37">
        <v>2013</v>
      </c>
    </row>
    <row r="38" spans="1:45" x14ac:dyDescent="0.35">
      <c r="A38">
        <v>2014</v>
      </c>
    </row>
    <row r="39" spans="1:45" x14ac:dyDescent="0.35">
      <c r="A39">
        <v>2015</v>
      </c>
      <c r="B39" s="1" t="s">
        <v>116</v>
      </c>
      <c r="C39" s="1" t="s">
        <v>117</v>
      </c>
      <c r="D39">
        <v>754.4</v>
      </c>
      <c r="E39">
        <v>654.1</v>
      </c>
      <c r="F39">
        <v>530</v>
      </c>
      <c r="G39">
        <v>427.6</v>
      </c>
      <c r="H39">
        <v>379.2</v>
      </c>
      <c r="I39">
        <v>345</v>
      </c>
      <c r="J39">
        <v>312</v>
      </c>
      <c r="K39">
        <v>286.5</v>
      </c>
      <c r="L39">
        <v>254.9</v>
      </c>
      <c r="M39">
        <v>230.4</v>
      </c>
      <c r="N39">
        <v>204</v>
      </c>
      <c r="O39">
        <v>174.4</v>
      </c>
      <c r="P39">
        <v>155.69999999999999</v>
      </c>
      <c r="Q39">
        <v>132.19999999999999</v>
      </c>
      <c r="R39">
        <v>118.1</v>
      </c>
      <c r="S39">
        <v>107.7</v>
      </c>
      <c r="T39">
        <v>101.4</v>
      </c>
      <c r="U39">
        <v>93</v>
      </c>
      <c r="V39">
        <v>87.7</v>
      </c>
      <c r="W39">
        <v>78.8</v>
      </c>
      <c r="X39">
        <v>70.900000000000006</v>
      </c>
      <c r="Y39">
        <v>64</v>
      </c>
      <c r="Z39">
        <v>54.3</v>
      </c>
      <c r="AA39">
        <v>48.4</v>
      </c>
      <c r="AB39">
        <v>42.2</v>
      </c>
      <c r="AC39">
        <v>37.299999999999997</v>
      </c>
      <c r="AD39">
        <v>32.299999999999997</v>
      </c>
      <c r="AE39">
        <v>27.1</v>
      </c>
      <c r="AF39">
        <v>22.9</v>
      </c>
      <c r="AG39">
        <v>18</v>
      </c>
      <c r="AH39">
        <v>13.3</v>
      </c>
      <c r="AI39">
        <v>9.9</v>
      </c>
      <c r="AJ39">
        <v>8.6</v>
      </c>
      <c r="AK39">
        <v>6.1</v>
      </c>
      <c r="AL39">
        <v>4.3</v>
      </c>
      <c r="AM39">
        <v>2.4</v>
      </c>
      <c r="AN39">
        <v>1.5</v>
      </c>
    </row>
    <row r="40" spans="1:45" x14ac:dyDescent="0.35">
      <c r="A40">
        <v>2016</v>
      </c>
    </row>
    <row r="41" spans="1:45" x14ac:dyDescent="0.35">
      <c r="A41">
        <v>2017</v>
      </c>
    </row>
    <row r="42" spans="1:45" x14ac:dyDescent="0.35">
      <c r="A42">
        <v>2018</v>
      </c>
    </row>
    <row r="43" spans="1:45" x14ac:dyDescent="0.35">
      <c r="A43">
        <v>2019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</row>
    <row r="44" spans="1:45" x14ac:dyDescent="0.35">
      <c r="A44">
        <v>2020</v>
      </c>
      <c r="B44" s="1" t="s">
        <v>4</v>
      </c>
      <c r="C44" s="1" t="s">
        <v>6</v>
      </c>
      <c r="D44" s="2">
        <v>884.6</v>
      </c>
      <c r="E44" s="2">
        <v>769</v>
      </c>
      <c r="F44" s="2">
        <v>626</v>
      </c>
      <c r="G44" s="2">
        <v>508</v>
      </c>
      <c r="H44" s="2">
        <v>452.3</v>
      </c>
      <c r="I44" s="2">
        <v>412.8</v>
      </c>
      <c r="J44" s="2">
        <v>374.8</v>
      </c>
      <c r="K44" s="2">
        <v>345.4</v>
      </c>
      <c r="L44" s="2">
        <v>309</v>
      </c>
      <c r="M44" s="2">
        <v>280.8</v>
      </c>
      <c r="N44" s="2">
        <v>250.3</v>
      </c>
      <c r="O44" s="2">
        <v>216.2</v>
      </c>
      <c r="P44" s="2">
        <v>194.7</v>
      </c>
      <c r="Q44" s="2">
        <v>167.6</v>
      </c>
      <c r="R44" s="2">
        <v>151.30000000000001</v>
      </c>
      <c r="S44" s="2">
        <v>139.30000000000001</v>
      </c>
      <c r="T44" s="2">
        <v>132.1</v>
      </c>
      <c r="U44" s="2">
        <v>122.4</v>
      </c>
      <c r="V44" s="2">
        <v>116.3</v>
      </c>
      <c r="W44" s="2">
        <v>106</v>
      </c>
      <c r="X44" s="2">
        <v>96.9</v>
      </c>
      <c r="Y44" s="2">
        <v>89</v>
      </c>
      <c r="Z44" s="2">
        <v>77.8</v>
      </c>
      <c r="AA44" s="2">
        <v>71</v>
      </c>
      <c r="AB44" s="2">
        <v>63.9</v>
      </c>
      <c r="AC44" s="2">
        <v>58.2</v>
      </c>
      <c r="AD44" s="2">
        <v>52.4</v>
      </c>
      <c r="AE44" s="2">
        <v>46.4</v>
      </c>
      <c r="AF44" s="2">
        <v>41.6</v>
      </c>
      <c r="AG44" s="2">
        <v>36</v>
      </c>
      <c r="AH44" s="2">
        <v>30.6</v>
      </c>
      <c r="AI44" s="2">
        <v>26.6</v>
      </c>
      <c r="AJ44" s="2">
        <v>25.1</v>
      </c>
      <c r="AK44" s="2">
        <v>22.3</v>
      </c>
      <c r="AL44" s="2">
        <v>20.100000000000001</v>
      </c>
      <c r="AM44" s="2">
        <v>18</v>
      </c>
      <c r="AN44" s="2">
        <v>17</v>
      </c>
      <c r="AO44" s="2">
        <v>15.2</v>
      </c>
      <c r="AP44" s="2">
        <v>13</v>
      </c>
      <c r="AQ44" s="2">
        <v>10.1</v>
      </c>
      <c r="AR44" s="2">
        <v>6.9</v>
      </c>
      <c r="AS44" s="2">
        <v>4</v>
      </c>
    </row>
    <row r="45" spans="1:45" x14ac:dyDescent="0.35">
      <c r="A45">
        <v>2021</v>
      </c>
    </row>
    <row r="46" spans="1:45" x14ac:dyDescent="0.35">
      <c r="A46">
        <v>2022</v>
      </c>
    </row>
    <row r="47" spans="1:45" x14ac:dyDescent="0.35">
      <c r="A47">
        <v>2023</v>
      </c>
    </row>
    <row r="48" spans="1:45" x14ac:dyDescent="0.35">
      <c r="A48">
        <v>2024</v>
      </c>
    </row>
    <row r="49" spans="1:1" x14ac:dyDescent="0.35">
      <c r="A49">
        <v>2025</v>
      </c>
    </row>
    <row r="50" spans="1:1" x14ac:dyDescent="0.35">
      <c r="A50">
        <v>2026</v>
      </c>
    </row>
    <row r="51" spans="1:1" x14ac:dyDescent="0.35">
      <c r="A51">
        <v>2027</v>
      </c>
    </row>
    <row r="52" spans="1:1" x14ac:dyDescent="0.35">
      <c r="A52">
        <v>2028</v>
      </c>
    </row>
    <row r="53" spans="1:1" x14ac:dyDescent="0.35">
      <c r="A53">
        <v>2029</v>
      </c>
    </row>
    <row r="54" spans="1:1" x14ac:dyDescent="0.35">
      <c r="A54">
        <v>2030</v>
      </c>
    </row>
    <row r="55" spans="1:1" x14ac:dyDescent="0.35">
      <c r="A55">
        <v>2031</v>
      </c>
    </row>
    <row r="56" spans="1:1" x14ac:dyDescent="0.35">
      <c r="A56">
        <v>2032</v>
      </c>
    </row>
    <row r="57" spans="1:1" x14ac:dyDescent="0.35">
      <c r="A57">
        <v>2033</v>
      </c>
    </row>
    <row r="58" spans="1:1" x14ac:dyDescent="0.35">
      <c r="A58">
        <v>2034</v>
      </c>
    </row>
    <row r="59" spans="1:1" x14ac:dyDescent="0.35">
      <c r="A59">
        <v>2035</v>
      </c>
    </row>
    <row r="60" spans="1:1" x14ac:dyDescent="0.35">
      <c r="A60">
        <v>2036</v>
      </c>
    </row>
    <row r="61" spans="1:1" x14ac:dyDescent="0.35">
      <c r="A61">
        <v>2037</v>
      </c>
    </row>
    <row r="62" spans="1:1" x14ac:dyDescent="0.35">
      <c r="A62">
        <v>2038</v>
      </c>
    </row>
    <row r="63" spans="1:1" x14ac:dyDescent="0.35">
      <c r="A63">
        <v>2039</v>
      </c>
    </row>
    <row r="64" spans="1:1" x14ac:dyDescent="0.35">
      <c r="A64">
        <v>2040</v>
      </c>
    </row>
    <row r="65" spans="1:1" x14ac:dyDescent="0.35">
      <c r="A65">
        <v>2041</v>
      </c>
    </row>
    <row r="66" spans="1:1" x14ac:dyDescent="0.35">
      <c r="A66">
        <v>2042</v>
      </c>
    </row>
    <row r="67" spans="1:1" x14ac:dyDescent="0.35">
      <c r="A67">
        <v>2043</v>
      </c>
    </row>
    <row r="68" spans="1:1" x14ac:dyDescent="0.35">
      <c r="A68">
        <v>2044</v>
      </c>
    </row>
    <row r="69" spans="1:1" x14ac:dyDescent="0.35">
      <c r="A69">
        <v>2045</v>
      </c>
    </row>
    <row r="70" spans="1:1" x14ac:dyDescent="0.35">
      <c r="A70">
        <v>2046</v>
      </c>
    </row>
    <row r="71" spans="1:1" x14ac:dyDescent="0.35">
      <c r="A71">
        <v>2047</v>
      </c>
    </row>
    <row r="72" spans="1:1" x14ac:dyDescent="0.35">
      <c r="A72">
        <v>2048</v>
      </c>
    </row>
    <row r="73" spans="1:1" x14ac:dyDescent="0.35">
      <c r="A73">
        <v>2049</v>
      </c>
    </row>
    <row r="74" spans="1:1" x14ac:dyDescent="0.35">
      <c r="A74">
        <v>2050</v>
      </c>
    </row>
  </sheetData>
  <hyperlinks>
    <hyperlink ref="B15" r:id="rId1" xr:uid="{C3CC47CE-24C3-4D39-9E6C-C482B594754C}"/>
    <hyperlink ref="C15" r:id="rId2" xr:uid="{51887388-6839-4946-A06D-D2FEA9E53A42}"/>
    <hyperlink ref="B44" r:id="rId3" xr:uid="{A6CCFE1C-4205-428A-BECD-BB3D9E469F6E}"/>
    <hyperlink ref="C44" r:id="rId4" xr:uid="{66BFE17D-7851-4BF3-A295-728BEADF5AC0}"/>
    <hyperlink ref="B26" r:id="rId5" xr:uid="{04277111-2AAD-41BA-8194-3E08A18D1928}"/>
    <hyperlink ref="C26" r:id="rId6" xr:uid="{1894DF5A-12EA-427A-A1C5-330742874A31}"/>
    <hyperlink ref="B39" r:id="rId7" xr:uid="{4DEE3DB9-BB88-496A-929B-C2ADC682D49B}"/>
    <hyperlink ref="C39" r:id="rId8" xr:uid="{D532EFCF-67A6-46CC-9293-878DB94FB44E}"/>
    <hyperlink ref="B34" r:id="rId9" xr:uid="{FAE1F4B4-7878-4384-89B1-D2F7EA5F0046}"/>
    <hyperlink ref="C34" r:id="rId10" xr:uid="{97AD9DF0-C424-4F64-A0E9-ED5C056E67F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6168F-A79D-41A5-8854-015224F15D1A}">
  <dimension ref="A1:L108"/>
  <sheetViews>
    <sheetView workbookViewId="0">
      <selection activeCell="C2" sqref="C2:E9"/>
    </sheetView>
    <sheetView workbookViewId="1"/>
  </sheetViews>
  <sheetFormatPr defaultRowHeight="14.5" x14ac:dyDescent="0.35"/>
  <cols>
    <col min="1" max="1" width="7.6328125" bestFit="1" customWidth="1"/>
    <col min="2" max="2" width="19.6328125" customWidth="1"/>
    <col min="3" max="4" width="11.54296875" bestFit="1" customWidth="1"/>
    <col min="5" max="5" width="10.7265625" bestFit="1" customWidth="1"/>
    <col min="6" max="6" width="43.90625" customWidth="1"/>
    <col min="8" max="8" width="15.54296875" bestFit="1" customWidth="1"/>
    <col min="9" max="10" width="11.54296875" bestFit="1" customWidth="1"/>
    <col min="11" max="11" width="10.7265625" customWidth="1"/>
  </cols>
  <sheetData>
    <row r="1" spans="1:11" x14ac:dyDescent="0.35">
      <c r="A1" t="s">
        <v>170</v>
      </c>
      <c r="B1" t="s">
        <v>171</v>
      </c>
      <c r="C1" t="s">
        <v>172</v>
      </c>
      <c r="D1" t="s">
        <v>173</v>
      </c>
      <c r="E1" t="s">
        <v>174</v>
      </c>
      <c r="H1" t="s">
        <v>171</v>
      </c>
      <c r="I1" t="s">
        <v>172</v>
      </c>
      <c r="J1" t="s">
        <v>173</v>
      </c>
      <c r="K1" t="s">
        <v>174</v>
      </c>
    </row>
    <row r="2" spans="1:11" x14ac:dyDescent="0.35">
      <c r="A2">
        <v>94</v>
      </c>
      <c r="B2" t="s">
        <v>175</v>
      </c>
      <c r="C2">
        <v>1978</v>
      </c>
      <c r="D2">
        <v>1987</v>
      </c>
      <c r="E2">
        <v>8.5000000000000006E-2</v>
      </c>
      <c r="H2" t="s">
        <v>209</v>
      </c>
      <c r="I2">
        <v>1986</v>
      </c>
      <c r="J2">
        <v>2002</v>
      </c>
      <c r="K2">
        <v>0.86299999999999999</v>
      </c>
    </row>
    <row r="3" spans="1:11" x14ac:dyDescent="0.35">
      <c r="A3">
        <v>95</v>
      </c>
      <c r="B3" t="s">
        <v>175</v>
      </c>
      <c r="C3">
        <v>1988</v>
      </c>
      <c r="D3">
        <v>1992</v>
      </c>
      <c r="E3">
        <v>7.4999999999999997E-2</v>
      </c>
      <c r="H3" t="s">
        <v>209</v>
      </c>
      <c r="I3">
        <v>1987</v>
      </c>
      <c r="J3">
        <v>2002</v>
      </c>
      <c r="K3">
        <v>0.80700000000000005</v>
      </c>
    </row>
    <row r="4" spans="1:11" x14ac:dyDescent="0.35">
      <c r="A4">
        <v>96</v>
      </c>
      <c r="B4" t="s">
        <v>175</v>
      </c>
      <c r="C4">
        <v>1993</v>
      </c>
      <c r="D4">
        <v>1996</v>
      </c>
      <c r="E4">
        <v>7.0000000000000007E-2</v>
      </c>
      <c r="H4" t="s">
        <v>209</v>
      </c>
      <c r="I4">
        <v>1988</v>
      </c>
      <c r="J4">
        <v>2002</v>
      </c>
      <c r="K4">
        <v>0.73399999999999999</v>
      </c>
    </row>
    <row r="5" spans="1:11" x14ac:dyDescent="0.35">
      <c r="A5">
        <v>97</v>
      </c>
      <c r="B5" t="s">
        <v>175</v>
      </c>
      <c r="C5">
        <v>1997</v>
      </c>
      <c r="D5">
        <v>2001</v>
      </c>
      <c r="E5">
        <v>6.25E-2</v>
      </c>
      <c r="H5" t="s">
        <v>209</v>
      </c>
      <c r="I5">
        <v>1989</v>
      </c>
      <c r="J5">
        <v>2002</v>
      </c>
      <c r="K5">
        <v>0.64</v>
      </c>
    </row>
    <row r="6" spans="1:11" x14ac:dyDescent="0.35">
      <c r="A6">
        <v>98</v>
      </c>
      <c r="B6" t="s">
        <v>175</v>
      </c>
      <c r="C6">
        <v>2002</v>
      </c>
      <c r="D6">
        <v>2006</v>
      </c>
      <c r="E6">
        <v>4.4999999999999998E-2</v>
      </c>
      <c r="H6" t="s">
        <v>209</v>
      </c>
      <c r="I6">
        <v>1990</v>
      </c>
      <c r="J6">
        <v>2002</v>
      </c>
      <c r="K6">
        <v>0.52400000000000002</v>
      </c>
    </row>
    <row r="7" spans="1:11" x14ac:dyDescent="0.35">
      <c r="A7">
        <v>99</v>
      </c>
      <c r="B7" t="s">
        <v>175</v>
      </c>
      <c r="C7">
        <v>2007</v>
      </c>
      <c r="D7">
        <v>2011</v>
      </c>
      <c r="E7">
        <v>0.04</v>
      </c>
      <c r="H7" t="s">
        <v>209</v>
      </c>
      <c r="I7">
        <v>1991</v>
      </c>
      <c r="J7">
        <v>2002</v>
      </c>
      <c r="K7">
        <v>0.375</v>
      </c>
    </row>
    <row r="8" spans="1:11" x14ac:dyDescent="0.35">
      <c r="A8">
        <v>100</v>
      </c>
      <c r="B8" t="s">
        <v>175</v>
      </c>
      <c r="C8">
        <v>2012</v>
      </c>
      <c r="D8">
        <v>2016</v>
      </c>
      <c r="E8">
        <v>4.7500000000000001E-2</v>
      </c>
      <c r="H8" t="s">
        <v>209</v>
      </c>
      <c r="I8">
        <v>1992</v>
      </c>
      <c r="J8">
        <v>2002</v>
      </c>
      <c r="K8">
        <v>0.32</v>
      </c>
    </row>
    <row r="9" spans="1:11" x14ac:dyDescent="0.35">
      <c r="A9">
        <v>101</v>
      </c>
      <c r="B9" t="s">
        <v>175</v>
      </c>
      <c r="C9">
        <v>2017</v>
      </c>
      <c r="D9">
        <v>2099</v>
      </c>
      <c r="E9">
        <v>3.5000000000000003E-2</v>
      </c>
      <c r="H9" t="s">
        <v>209</v>
      </c>
      <c r="I9">
        <v>1993</v>
      </c>
      <c r="J9">
        <v>2002</v>
      </c>
      <c r="K9">
        <v>0.27500000000000002</v>
      </c>
    </row>
    <row r="10" spans="1:11" x14ac:dyDescent="0.35">
      <c r="H10" t="s">
        <v>209</v>
      </c>
      <c r="I10">
        <v>1994</v>
      </c>
      <c r="J10">
        <v>2002</v>
      </c>
      <c r="K10">
        <v>0.252</v>
      </c>
    </row>
    <row r="11" spans="1:11" x14ac:dyDescent="0.35">
      <c r="B11" t="s">
        <v>329</v>
      </c>
      <c r="C11">
        <v>1990</v>
      </c>
      <c r="D11">
        <v>10</v>
      </c>
      <c r="E11">
        <v>7.5999999999999998E-2</v>
      </c>
      <c r="F11" t="str">
        <f t="shared" ref="F11:F39" si="0">"exec spAddFactor '"&amp;B11&amp;"','"&amp;C11&amp;"','"&amp;D11&amp;"','"&amp;E11&amp;"'"</f>
        <v>exec spAddFactor 'PIPIncPublicSector','1990','10','0.076'</v>
      </c>
      <c r="H11" t="s">
        <v>209</v>
      </c>
      <c r="I11">
        <v>1995</v>
      </c>
      <c r="J11">
        <v>2002</v>
      </c>
      <c r="K11">
        <v>0.22500000000000001</v>
      </c>
    </row>
    <row r="12" spans="1:11" x14ac:dyDescent="0.35">
      <c r="B12" t="s">
        <v>329</v>
      </c>
      <c r="C12">
        <v>1991</v>
      </c>
      <c r="D12">
        <v>9</v>
      </c>
      <c r="E12">
        <v>0.109</v>
      </c>
      <c r="F12" t="str">
        <f t="shared" si="0"/>
        <v>exec spAddFactor 'PIPIncPublicSector','1991','9','0.109'</v>
      </c>
      <c r="H12" t="s">
        <v>209</v>
      </c>
      <c r="I12">
        <v>1996</v>
      </c>
      <c r="J12">
        <v>2002</v>
      </c>
      <c r="K12">
        <v>0.17899999999999999</v>
      </c>
    </row>
    <row r="13" spans="1:11" x14ac:dyDescent="0.35">
      <c r="B13" t="s">
        <v>329</v>
      </c>
      <c r="C13">
        <v>1992</v>
      </c>
      <c r="D13">
        <v>8</v>
      </c>
      <c r="E13">
        <v>4.1000000000000002E-2</v>
      </c>
      <c r="F13" t="str">
        <f t="shared" si="0"/>
        <v>exec spAddFactor 'PIPIncPublicSector','1992','8','0.041'</v>
      </c>
      <c r="H13" t="s">
        <v>209</v>
      </c>
      <c r="I13">
        <v>1997</v>
      </c>
      <c r="J13">
        <v>2002</v>
      </c>
      <c r="K13">
        <v>0.155</v>
      </c>
    </row>
    <row r="14" spans="1:11" x14ac:dyDescent="0.35">
      <c r="B14" t="s">
        <v>329</v>
      </c>
      <c r="C14">
        <v>1993</v>
      </c>
      <c r="D14">
        <v>6</v>
      </c>
      <c r="E14">
        <v>3.5999999999999997E-2</v>
      </c>
      <c r="F14" t="str">
        <f t="shared" si="0"/>
        <v>exec spAddFactor 'PIPIncPublicSector','1993','6','0.036'</v>
      </c>
      <c r="H14" t="s">
        <v>209</v>
      </c>
      <c r="I14">
        <v>1998</v>
      </c>
      <c r="J14">
        <v>2002</v>
      </c>
      <c r="K14">
        <v>0.115</v>
      </c>
    </row>
    <row r="15" spans="1:11" x14ac:dyDescent="0.35">
      <c r="B15" t="s">
        <v>329</v>
      </c>
      <c r="C15">
        <v>1994</v>
      </c>
      <c r="D15">
        <v>12</v>
      </c>
      <c r="E15">
        <v>1.7999999999999999E-2</v>
      </c>
      <c r="F15" t="str">
        <f t="shared" si="0"/>
        <v>exec spAddFactor 'PIPIncPublicSector','1994','12','0.018'</v>
      </c>
      <c r="H15" t="s">
        <v>209</v>
      </c>
      <c r="I15">
        <v>1999</v>
      </c>
      <c r="J15">
        <v>2002</v>
      </c>
      <c r="K15">
        <v>0.08</v>
      </c>
    </row>
    <row r="16" spans="1:11" x14ac:dyDescent="0.35">
      <c r="B16" t="s">
        <v>329</v>
      </c>
      <c r="C16">
        <v>1995</v>
      </c>
      <c r="D16">
        <v>11</v>
      </c>
      <c r="E16">
        <v>2.1999999999999999E-2</v>
      </c>
      <c r="F16" t="str">
        <f t="shared" si="0"/>
        <v>exec spAddFactor 'PIPIncPublicSector','1995','11','0.022'</v>
      </c>
      <c r="H16" t="s">
        <v>209</v>
      </c>
      <c r="I16">
        <v>2000</v>
      </c>
      <c r="J16">
        <v>2002</v>
      </c>
      <c r="K16">
        <v>6.8000000000000005E-2</v>
      </c>
    </row>
    <row r="17" spans="2:11" x14ac:dyDescent="0.35">
      <c r="B17" t="s">
        <v>329</v>
      </c>
      <c r="C17">
        <v>1996</v>
      </c>
      <c r="D17">
        <v>10</v>
      </c>
      <c r="E17">
        <v>3.9E-2</v>
      </c>
      <c r="F17" t="str">
        <f t="shared" si="0"/>
        <v>exec spAddFactor 'PIPIncPublicSector','1996','10','0.039'</v>
      </c>
      <c r="H17" t="s">
        <v>209</v>
      </c>
      <c r="I17">
        <v>2001</v>
      </c>
      <c r="J17">
        <v>2002</v>
      </c>
      <c r="K17">
        <v>3.4000000000000002E-2</v>
      </c>
    </row>
    <row r="18" spans="2:11" x14ac:dyDescent="0.35">
      <c r="B18" t="s">
        <v>329</v>
      </c>
      <c r="C18">
        <v>1997</v>
      </c>
      <c r="D18">
        <v>8</v>
      </c>
      <c r="E18">
        <v>2.1000000000000001E-2</v>
      </c>
      <c r="F18" t="str">
        <f t="shared" si="0"/>
        <v>exec spAddFactor 'PIPIncPublicSector','1997','8','0.021'</v>
      </c>
      <c r="H18" t="s">
        <v>209</v>
      </c>
      <c r="I18">
        <v>2002</v>
      </c>
      <c r="J18">
        <v>2002</v>
      </c>
      <c r="K18">
        <v>1.7000000000000001E-2</v>
      </c>
    </row>
    <row r="19" spans="2:11" x14ac:dyDescent="0.35">
      <c r="B19" t="s">
        <v>329</v>
      </c>
      <c r="C19">
        <v>1998</v>
      </c>
      <c r="D19">
        <v>7</v>
      </c>
      <c r="E19">
        <v>3.5999999999999997E-2</v>
      </c>
      <c r="F19" t="str">
        <f t="shared" si="0"/>
        <v>exec spAddFactor 'PIPIncPublicSector','1998','7','0.036'</v>
      </c>
      <c r="H19" t="s">
        <v>209</v>
      </c>
      <c r="I19">
        <v>1986</v>
      </c>
      <c r="J19">
        <v>2016</v>
      </c>
      <c r="K19">
        <v>1.6259999999999999</v>
      </c>
    </row>
    <row r="20" spans="2:11" x14ac:dyDescent="0.35">
      <c r="B20" t="s">
        <v>329</v>
      </c>
      <c r="C20">
        <v>1999</v>
      </c>
      <c r="D20">
        <v>6</v>
      </c>
      <c r="E20">
        <v>3.2000000000000001E-2</v>
      </c>
      <c r="F20" t="str">
        <f t="shared" si="0"/>
        <v>exec spAddFactor 'PIPIncPublicSector','1999','6','0.032'</v>
      </c>
      <c r="H20" t="s">
        <v>209</v>
      </c>
      <c r="I20">
        <v>1987</v>
      </c>
      <c r="J20">
        <v>2016</v>
      </c>
      <c r="K20">
        <v>1.5469999999999999</v>
      </c>
    </row>
    <row r="21" spans="2:11" x14ac:dyDescent="0.35">
      <c r="B21" t="s">
        <v>329</v>
      </c>
      <c r="C21">
        <v>2000</v>
      </c>
      <c r="D21">
        <v>12</v>
      </c>
      <c r="E21">
        <v>1.0999999999999999E-2</v>
      </c>
      <c r="F21" t="str">
        <f t="shared" si="0"/>
        <v>exec spAddFactor 'PIPIncPublicSector','2000','12','0.011'</v>
      </c>
      <c r="H21" t="s">
        <v>209</v>
      </c>
      <c r="I21">
        <v>1988</v>
      </c>
      <c r="J21">
        <v>2016</v>
      </c>
      <c r="K21">
        <v>1.4450000000000001</v>
      </c>
    </row>
    <row r="22" spans="2:11" x14ac:dyDescent="0.35">
      <c r="B22" t="s">
        <v>329</v>
      </c>
      <c r="C22">
        <v>2001</v>
      </c>
      <c r="D22">
        <v>10</v>
      </c>
      <c r="E22">
        <v>3.3000000000000002E-2</v>
      </c>
      <c r="F22" t="str">
        <f t="shared" si="0"/>
        <v>exec spAddFactor 'PIPIncPublicSector','2001','10','0.033'</v>
      </c>
      <c r="H22" t="s">
        <v>209</v>
      </c>
      <c r="I22">
        <v>1989</v>
      </c>
      <c r="J22">
        <v>2016</v>
      </c>
      <c r="K22">
        <v>1.3129999999999999</v>
      </c>
    </row>
    <row r="23" spans="2:11" x14ac:dyDescent="0.35">
      <c r="B23" t="s">
        <v>329</v>
      </c>
      <c r="C23">
        <v>2002</v>
      </c>
      <c r="D23">
        <v>9</v>
      </c>
      <c r="E23">
        <v>1.7000000000000001E-2</v>
      </c>
      <c r="F23" t="str">
        <f t="shared" si="0"/>
        <v>exec spAddFactor 'PIPIncPublicSector','2002','9','0.017'</v>
      </c>
      <c r="H23" t="s">
        <v>209</v>
      </c>
      <c r="I23">
        <v>1990</v>
      </c>
      <c r="J23">
        <v>2016</v>
      </c>
      <c r="K23">
        <v>1.1499999999999999</v>
      </c>
    </row>
    <row r="24" spans="2:11" x14ac:dyDescent="0.35">
      <c r="B24" t="s">
        <v>329</v>
      </c>
      <c r="C24">
        <v>2003</v>
      </c>
      <c r="D24">
        <v>8</v>
      </c>
      <c r="E24">
        <v>1.7000000000000001E-2</v>
      </c>
      <c r="F24" t="str">
        <f t="shared" si="0"/>
        <v>exec spAddFactor 'PIPIncPublicSector','2003','8','0.017'</v>
      </c>
      <c r="H24" t="s">
        <v>209</v>
      </c>
      <c r="I24">
        <v>1991</v>
      </c>
      <c r="J24">
        <v>2016</v>
      </c>
      <c r="K24">
        <v>0.93799999999999994</v>
      </c>
    </row>
    <row r="25" spans="2:11" x14ac:dyDescent="0.35">
      <c r="B25" t="s">
        <v>329</v>
      </c>
      <c r="C25">
        <v>2004</v>
      </c>
      <c r="D25">
        <v>7</v>
      </c>
      <c r="E25">
        <v>2.8000000000000001E-2</v>
      </c>
      <c r="F25" t="str">
        <f t="shared" si="0"/>
        <v>exec spAddFactor 'PIPIncPublicSector','2004','7','0.028'</v>
      </c>
      <c r="H25" t="s">
        <v>209</v>
      </c>
      <c r="I25">
        <v>1992</v>
      </c>
      <c r="J25">
        <v>2016</v>
      </c>
      <c r="K25">
        <v>0.86199999999999999</v>
      </c>
    </row>
    <row r="26" spans="2:11" x14ac:dyDescent="0.35">
      <c r="B26" t="s">
        <v>329</v>
      </c>
      <c r="C26">
        <v>2005</v>
      </c>
      <c r="D26">
        <v>12</v>
      </c>
      <c r="E26">
        <v>3.1E-2</v>
      </c>
      <c r="F26" t="str">
        <f t="shared" si="0"/>
        <v>exec spAddFactor 'PIPIncPublicSector','2005','12','0.031'</v>
      </c>
      <c r="H26" t="s">
        <v>209</v>
      </c>
      <c r="I26">
        <v>1993</v>
      </c>
      <c r="J26">
        <v>2016</v>
      </c>
      <c r="K26">
        <v>0.79700000000000004</v>
      </c>
    </row>
    <row r="27" spans="2:11" x14ac:dyDescent="0.35">
      <c r="B27" t="s">
        <v>329</v>
      </c>
      <c r="C27">
        <v>2006</v>
      </c>
      <c r="D27">
        <v>11</v>
      </c>
      <c r="E27">
        <v>2.7E-2</v>
      </c>
      <c r="F27" t="str">
        <f t="shared" si="0"/>
        <v>exec spAddFactor 'PIPIncPublicSector','2006','11','0.027'</v>
      </c>
      <c r="H27" t="s">
        <v>209</v>
      </c>
      <c r="I27">
        <v>1994</v>
      </c>
      <c r="J27">
        <v>2016</v>
      </c>
      <c r="K27">
        <v>0.76500000000000001</v>
      </c>
    </row>
    <row r="28" spans="2:11" x14ac:dyDescent="0.35">
      <c r="B28" t="s">
        <v>329</v>
      </c>
      <c r="C28">
        <v>2007</v>
      </c>
      <c r="D28">
        <v>10</v>
      </c>
      <c r="E28">
        <v>3.5999999999999997E-2</v>
      </c>
      <c r="F28" t="str">
        <f t="shared" si="0"/>
        <v>exec spAddFactor 'PIPIncPublicSector','2007','10','0.036'</v>
      </c>
      <c r="H28" t="s">
        <v>209</v>
      </c>
      <c r="I28">
        <v>1995</v>
      </c>
      <c r="J28">
        <v>2016</v>
      </c>
      <c r="K28">
        <v>0.72699999999999998</v>
      </c>
    </row>
    <row r="29" spans="2:11" x14ac:dyDescent="0.35">
      <c r="B29" t="s">
        <v>329</v>
      </c>
      <c r="C29">
        <v>2008</v>
      </c>
      <c r="D29">
        <v>9</v>
      </c>
      <c r="E29">
        <v>3.9E-2</v>
      </c>
      <c r="F29" t="str">
        <f t="shared" si="0"/>
        <v>exec spAddFactor 'PIPIncPublicSector','2008','9','0.039'</v>
      </c>
      <c r="H29" t="s">
        <v>209</v>
      </c>
      <c r="I29">
        <v>1996</v>
      </c>
      <c r="J29">
        <v>2016</v>
      </c>
      <c r="K29">
        <v>0.66300000000000003</v>
      </c>
    </row>
    <row r="30" spans="2:11" x14ac:dyDescent="0.35">
      <c r="B30" t="s">
        <v>329</v>
      </c>
      <c r="C30">
        <v>2009</v>
      </c>
      <c r="D30">
        <v>7</v>
      </c>
      <c r="E30">
        <v>0.05</v>
      </c>
      <c r="F30" t="str">
        <f t="shared" si="0"/>
        <v>exec spAddFactor 'PIPIncPublicSector','2009','7','0.05'</v>
      </c>
      <c r="H30" t="s">
        <v>209</v>
      </c>
      <c r="I30">
        <v>1997</v>
      </c>
      <c r="J30">
        <v>2016</v>
      </c>
      <c r="K30">
        <v>0.628</v>
      </c>
    </row>
    <row r="31" spans="2:11" x14ac:dyDescent="0.35">
      <c r="B31" t="s">
        <v>329</v>
      </c>
      <c r="C31">
        <v>2010</v>
      </c>
      <c r="D31">
        <v>6</v>
      </c>
      <c r="E31">
        <v>0</v>
      </c>
      <c r="F31" t="str">
        <f t="shared" si="0"/>
        <v>exec spAddFactor 'PIPIncPublicSector','2010','6','0'</v>
      </c>
      <c r="H31" t="s">
        <v>209</v>
      </c>
      <c r="I31">
        <v>1998</v>
      </c>
      <c r="J31">
        <v>2016</v>
      </c>
      <c r="K31">
        <v>0.57199999999999995</v>
      </c>
    </row>
    <row r="32" spans="2:11" x14ac:dyDescent="0.35">
      <c r="B32" t="s">
        <v>329</v>
      </c>
      <c r="C32">
        <v>2011</v>
      </c>
      <c r="D32">
        <v>12</v>
      </c>
      <c r="E32">
        <v>3.1E-2</v>
      </c>
      <c r="F32" t="str">
        <f t="shared" si="0"/>
        <v>exec spAddFactor 'PIPIncPublicSector','2011','12','0.031'</v>
      </c>
      <c r="H32" t="s">
        <v>209</v>
      </c>
      <c r="I32">
        <v>1999</v>
      </c>
      <c r="J32">
        <v>2016</v>
      </c>
      <c r="K32">
        <v>0.52300000000000002</v>
      </c>
    </row>
    <row r="33" spans="2:11" x14ac:dyDescent="0.35">
      <c r="B33" t="s">
        <v>329</v>
      </c>
      <c r="C33">
        <v>2012</v>
      </c>
      <c r="D33">
        <v>11</v>
      </c>
      <c r="E33">
        <v>5.1999999999999998E-2</v>
      </c>
      <c r="F33" t="str">
        <f t="shared" si="0"/>
        <v>exec spAddFactor 'PIPIncPublicSector','2012','11','0.052'</v>
      </c>
      <c r="H33" t="s">
        <v>209</v>
      </c>
      <c r="I33">
        <v>2000</v>
      </c>
      <c r="J33">
        <v>2016</v>
      </c>
      <c r="K33">
        <v>0.50600000000000001</v>
      </c>
    </row>
    <row r="34" spans="2:11" x14ac:dyDescent="0.35">
      <c r="B34" t="s">
        <v>329</v>
      </c>
      <c r="C34">
        <v>2013</v>
      </c>
      <c r="D34">
        <v>9</v>
      </c>
      <c r="E34">
        <v>2.1999999999999999E-2</v>
      </c>
      <c r="F34" t="str">
        <f t="shared" si="0"/>
        <v>exec spAddFactor 'PIPIncPublicSector','2013','9','0.022'</v>
      </c>
      <c r="H34" t="s">
        <v>209</v>
      </c>
      <c r="I34">
        <v>2001</v>
      </c>
      <c r="J34">
        <v>2016</v>
      </c>
      <c r="K34">
        <v>0.45800000000000002</v>
      </c>
    </row>
    <row r="35" spans="2:11" x14ac:dyDescent="0.35">
      <c r="B35" t="s">
        <v>329</v>
      </c>
      <c r="C35">
        <v>2014</v>
      </c>
      <c r="D35">
        <v>8</v>
      </c>
      <c r="E35">
        <v>2.7E-2</v>
      </c>
      <c r="F35" t="str">
        <f t="shared" si="0"/>
        <v>exec spAddFactor 'PIPIncPublicSector','2014','8','0.027'</v>
      </c>
      <c r="H35" t="s">
        <v>209</v>
      </c>
      <c r="I35">
        <v>2002</v>
      </c>
      <c r="J35">
        <v>2016</v>
      </c>
      <c r="K35">
        <v>0.434</v>
      </c>
    </row>
    <row r="36" spans="2:11" x14ac:dyDescent="0.35">
      <c r="B36" t="s">
        <v>329</v>
      </c>
      <c r="C36">
        <v>2015</v>
      </c>
      <c r="D36">
        <v>7</v>
      </c>
      <c r="E36">
        <v>1.2E-2</v>
      </c>
      <c r="F36" t="str">
        <f t="shared" si="0"/>
        <v>exec spAddFactor 'PIPIncPublicSector','2015','7','0.012'</v>
      </c>
      <c r="H36" t="s">
        <v>209</v>
      </c>
      <c r="I36">
        <v>2003</v>
      </c>
      <c r="J36">
        <v>2016</v>
      </c>
      <c r="K36">
        <v>0.41</v>
      </c>
    </row>
    <row r="37" spans="2:11" x14ac:dyDescent="0.35">
      <c r="B37" t="s">
        <v>329</v>
      </c>
      <c r="C37">
        <v>2016</v>
      </c>
      <c r="D37">
        <v>6</v>
      </c>
      <c r="E37">
        <v>0</v>
      </c>
      <c r="F37" t="str">
        <f t="shared" si="0"/>
        <v>exec spAddFactor 'PIPIncPublicSector','2016','6','0'</v>
      </c>
      <c r="H37" t="s">
        <v>209</v>
      </c>
      <c r="I37">
        <v>2004</v>
      </c>
      <c r="J37">
        <v>2016</v>
      </c>
      <c r="K37">
        <v>0.372</v>
      </c>
    </row>
    <row r="38" spans="2:11" x14ac:dyDescent="0.35">
      <c r="B38" t="s">
        <v>329</v>
      </c>
      <c r="C38">
        <v>2017</v>
      </c>
      <c r="D38">
        <v>11</v>
      </c>
      <c r="E38">
        <v>0.01</v>
      </c>
      <c r="F38" t="str">
        <f t="shared" si="0"/>
        <v>exec spAddFactor 'PIPIncPublicSector','2017','11','0.01'</v>
      </c>
      <c r="H38" t="s">
        <v>209</v>
      </c>
      <c r="I38">
        <v>2005</v>
      </c>
      <c r="J38">
        <v>2016</v>
      </c>
      <c r="K38">
        <v>0.33</v>
      </c>
    </row>
    <row r="39" spans="2:11" x14ac:dyDescent="0.35">
      <c r="B39" t="s">
        <v>329</v>
      </c>
      <c r="C39">
        <v>2018</v>
      </c>
      <c r="D39">
        <v>10</v>
      </c>
      <c r="E39">
        <v>0.03</v>
      </c>
      <c r="F39" t="str">
        <f t="shared" si="0"/>
        <v>exec spAddFactor 'PIPIncPublicSector','2018','10','0.03'</v>
      </c>
      <c r="H39" t="s">
        <v>209</v>
      </c>
      <c r="I39">
        <v>2006</v>
      </c>
      <c r="J39">
        <v>2016</v>
      </c>
      <c r="K39">
        <v>0.29499999999999998</v>
      </c>
    </row>
    <row r="40" spans="2:11" x14ac:dyDescent="0.35">
      <c r="B40" t="s">
        <v>329</v>
      </c>
      <c r="C40">
        <v>2019</v>
      </c>
      <c r="D40">
        <v>10</v>
      </c>
      <c r="E40">
        <v>2.4E-2</v>
      </c>
      <c r="F40" t="str">
        <f t="shared" ref="F40:F42" si="1">"exec spAddFactor '"&amp;B40&amp;"','"&amp;C40&amp;"','"&amp;D40&amp;"','"&amp;E40&amp;"'"</f>
        <v>exec spAddFactor 'PIPIncPublicSector','2019','10','0.024'</v>
      </c>
      <c r="H40" t="s">
        <v>209</v>
      </c>
      <c r="I40">
        <v>2007</v>
      </c>
      <c r="J40">
        <v>2016</v>
      </c>
      <c r="K40">
        <v>0.25</v>
      </c>
    </row>
    <row r="41" spans="2:11" x14ac:dyDescent="0.35">
      <c r="B41" t="s">
        <v>329</v>
      </c>
      <c r="C41">
        <v>2020</v>
      </c>
      <c r="D41">
        <v>10</v>
      </c>
      <c r="E41">
        <v>1.7000000000000001E-2</v>
      </c>
      <c r="F41" t="str">
        <f t="shared" si="1"/>
        <v>exec spAddFactor 'PIPIncPublicSector','2020','10','0.017'</v>
      </c>
      <c r="H41" t="s">
        <v>209</v>
      </c>
      <c r="I41">
        <v>2008</v>
      </c>
      <c r="J41">
        <v>2016</v>
      </c>
      <c r="K41">
        <v>0.20300000000000001</v>
      </c>
    </row>
    <row r="42" spans="2:11" x14ac:dyDescent="0.35">
      <c r="B42" t="s">
        <v>329</v>
      </c>
      <c r="C42">
        <v>2021</v>
      </c>
      <c r="D42">
        <v>12</v>
      </c>
      <c r="E42">
        <v>5.0000000000000001E-3</v>
      </c>
      <c r="F42" t="str">
        <f t="shared" si="1"/>
        <v>exec spAddFactor 'PIPIncPublicSector','2021','12','0.005'</v>
      </c>
      <c r="H42" t="s">
        <v>209</v>
      </c>
      <c r="I42">
        <v>2009</v>
      </c>
      <c r="J42">
        <v>2016</v>
      </c>
      <c r="K42">
        <v>0.14599999999999999</v>
      </c>
    </row>
    <row r="43" spans="2:11" x14ac:dyDescent="0.35">
      <c r="B43" t="s">
        <v>330</v>
      </c>
      <c r="C43">
        <f>C11</f>
        <v>1990</v>
      </c>
      <c r="D43">
        <f>D11</f>
        <v>10</v>
      </c>
      <c r="E43">
        <f>MIN(E11,0.03)</f>
        <v>0.03</v>
      </c>
      <c r="F43" t="str">
        <f>"exec spAddFactor '"&amp;B43&amp;"','"&amp;C43&amp;"','"&amp;D43&amp;"','"&amp;E43&amp;"'"</f>
        <v>exec spAddFactor 'PIPIncLPI3','1990','10','0.03'</v>
      </c>
      <c r="H43" t="s">
        <v>209</v>
      </c>
      <c r="I43">
        <v>2010</v>
      </c>
      <c r="J43">
        <v>2016</v>
      </c>
      <c r="K43">
        <v>0.16200000000000001</v>
      </c>
    </row>
    <row r="44" spans="2:11" x14ac:dyDescent="0.35">
      <c r="B44" t="s">
        <v>330</v>
      </c>
      <c r="C44">
        <f t="shared" ref="C44:D44" si="2">C12</f>
        <v>1991</v>
      </c>
      <c r="D44">
        <f t="shared" si="2"/>
        <v>9</v>
      </c>
      <c r="E44">
        <f t="shared" ref="E44:E74" si="3">MIN(E12,0.03)</f>
        <v>0.03</v>
      </c>
      <c r="F44" t="str">
        <f t="shared" ref="F44:F69" si="4">"exec spAddFactor '"&amp;B44&amp;"','"&amp;C44&amp;"','"&amp;D44&amp;"','"&amp;E44&amp;"'"</f>
        <v>exec spAddFactor 'PIPIncLPI3','1991','9','0.03'</v>
      </c>
      <c r="H44" t="s">
        <v>209</v>
      </c>
      <c r="I44">
        <v>2011</v>
      </c>
      <c r="J44">
        <v>2016</v>
      </c>
      <c r="K44">
        <v>0.127</v>
      </c>
    </row>
    <row r="45" spans="2:11" x14ac:dyDescent="0.35">
      <c r="B45" t="s">
        <v>330</v>
      </c>
      <c r="C45">
        <f t="shared" ref="C45:D45" si="5">C13</f>
        <v>1992</v>
      </c>
      <c r="D45">
        <f t="shared" si="5"/>
        <v>8</v>
      </c>
      <c r="E45">
        <f t="shared" si="3"/>
        <v>0.03</v>
      </c>
      <c r="F45" t="str">
        <f t="shared" si="4"/>
        <v>exec spAddFactor 'PIPIncLPI3','1992','8','0.03'</v>
      </c>
      <c r="H45" t="s">
        <v>209</v>
      </c>
      <c r="I45">
        <v>2012</v>
      </c>
      <c r="J45">
        <v>2016</v>
      </c>
      <c r="K45">
        <v>7.1999999999999995E-2</v>
      </c>
    </row>
    <row r="46" spans="2:11" x14ac:dyDescent="0.35">
      <c r="B46" t="s">
        <v>330</v>
      </c>
      <c r="C46">
        <f t="shared" ref="C46:D46" si="6">C14</f>
        <v>1993</v>
      </c>
      <c r="D46">
        <f t="shared" si="6"/>
        <v>6</v>
      </c>
      <c r="E46">
        <f t="shared" si="3"/>
        <v>0.03</v>
      </c>
      <c r="F46" t="str">
        <f t="shared" si="4"/>
        <v>exec spAddFactor 'PIPIncLPI3','1993','6','0.03'</v>
      </c>
      <c r="H46" t="s">
        <v>209</v>
      </c>
      <c r="I46">
        <v>2013</v>
      </c>
      <c r="J46">
        <v>2016</v>
      </c>
      <c r="K46">
        <v>4.9000000000000002E-2</v>
      </c>
    </row>
    <row r="47" spans="2:11" x14ac:dyDescent="0.35">
      <c r="B47" t="s">
        <v>330</v>
      </c>
      <c r="C47">
        <f t="shared" ref="C47:D47" si="7">C15</f>
        <v>1994</v>
      </c>
      <c r="D47">
        <f t="shared" si="7"/>
        <v>12</v>
      </c>
      <c r="E47">
        <f t="shared" si="3"/>
        <v>1.7999999999999999E-2</v>
      </c>
      <c r="F47" t="str">
        <f t="shared" si="4"/>
        <v>exec spAddFactor 'PIPIncLPI3','1994','12','0.018'</v>
      </c>
      <c r="H47" t="s">
        <v>209</v>
      </c>
      <c r="I47">
        <v>2014</v>
      </c>
      <c r="J47">
        <v>2016</v>
      </c>
      <c r="K47">
        <v>2.1000000000000001E-2</v>
      </c>
    </row>
    <row r="48" spans="2:11" x14ac:dyDescent="0.35">
      <c r="B48" t="s">
        <v>330</v>
      </c>
      <c r="C48">
        <f t="shared" ref="C48:D48" si="8">C16</f>
        <v>1995</v>
      </c>
      <c r="D48">
        <f t="shared" si="8"/>
        <v>11</v>
      </c>
      <c r="E48">
        <f t="shared" si="3"/>
        <v>2.1999999999999999E-2</v>
      </c>
      <c r="F48" t="str">
        <f t="shared" si="4"/>
        <v>exec spAddFactor 'PIPIncLPI3','1995','11','0.022'</v>
      </c>
      <c r="H48" t="s">
        <v>209</v>
      </c>
      <c r="I48">
        <v>2015</v>
      </c>
      <c r="J48">
        <v>2016</v>
      </c>
      <c r="K48">
        <v>8.9999999999999993E-3</v>
      </c>
    </row>
    <row r="49" spans="2:11" x14ac:dyDescent="0.35">
      <c r="B49" t="s">
        <v>330</v>
      </c>
      <c r="C49">
        <f t="shared" ref="C49:D49" si="9">C17</f>
        <v>1996</v>
      </c>
      <c r="D49">
        <f t="shared" si="9"/>
        <v>10</v>
      </c>
      <c r="E49">
        <f t="shared" si="3"/>
        <v>0.03</v>
      </c>
      <c r="F49" t="str">
        <f t="shared" si="4"/>
        <v>exec spAddFactor 'PIPIncLPI3','1996','10','0.03'</v>
      </c>
      <c r="H49" t="s">
        <v>209</v>
      </c>
      <c r="I49">
        <v>2016</v>
      </c>
      <c r="J49">
        <v>2016</v>
      </c>
      <c r="K49">
        <v>0.01</v>
      </c>
    </row>
    <row r="50" spans="2:11" x14ac:dyDescent="0.35">
      <c r="B50" t="s">
        <v>330</v>
      </c>
      <c r="C50">
        <f t="shared" ref="C50:D50" si="10">C18</f>
        <v>1997</v>
      </c>
      <c r="D50">
        <f t="shared" si="10"/>
        <v>8</v>
      </c>
      <c r="E50">
        <f t="shared" si="3"/>
        <v>2.1000000000000001E-2</v>
      </c>
      <c r="F50" t="str">
        <f t="shared" si="4"/>
        <v>exec spAddFactor 'PIPIncLPI3','1997','8','0.021'</v>
      </c>
      <c r="H50" t="s">
        <v>209</v>
      </c>
      <c r="I50">
        <v>1986</v>
      </c>
      <c r="J50">
        <v>2011</v>
      </c>
      <c r="K50">
        <v>1.4510000000000001</v>
      </c>
    </row>
    <row r="51" spans="2:11" x14ac:dyDescent="0.35">
      <c r="B51" t="s">
        <v>330</v>
      </c>
      <c r="C51">
        <f t="shared" ref="C51:D51" si="11">C19</f>
        <v>1998</v>
      </c>
      <c r="D51">
        <f t="shared" si="11"/>
        <v>7</v>
      </c>
      <c r="E51">
        <f t="shared" si="3"/>
        <v>0.03</v>
      </c>
      <c r="F51" t="str">
        <f t="shared" si="4"/>
        <v>exec spAddFactor 'PIPIncLPI3','1998','7','0.03'</v>
      </c>
      <c r="H51" t="s">
        <v>209</v>
      </c>
      <c r="I51">
        <v>1987</v>
      </c>
      <c r="J51">
        <v>2011</v>
      </c>
      <c r="K51">
        <v>1.377</v>
      </c>
    </row>
    <row r="52" spans="2:11" x14ac:dyDescent="0.35">
      <c r="B52" t="s">
        <v>330</v>
      </c>
      <c r="C52">
        <f t="shared" ref="C52:D52" si="12">C20</f>
        <v>1999</v>
      </c>
      <c r="D52">
        <f t="shared" si="12"/>
        <v>6</v>
      </c>
      <c r="E52">
        <f t="shared" si="3"/>
        <v>0.03</v>
      </c>
      <c r="F52" t="str">
        <f t="shared" si="4"/>
        <v>exec spAddFactor 'PIPIncLPI3','1999','6','0.03'</v>
      </c>
      <c r="H52" t="s">
        <v>209</v>
      </c>
      <c r="I52">
        <v>1988</v>
      </c>
      <c r="J52">
        <v>2011</v>
      </c>
      <c r="K52">
        <v>1.2809999999999999</v>
      </c>
    </row>
    <row r="53" spans="2:11" x14ac:dyDescent="0.35">
      <c r="B53" t="s">
        <v>330</v>
      </c>
      <c r="C53">
        <f t="shared" ref="C53:D53" si="13">C21</f>
        <v>2000</v>
      </c>
      <c r="D53">
        <f t="shared" si="13"/>
        <v>12</v>
      </c>
      <c r="E53">
        <f t="shared" si="3"/>
        <v>1.0999999999999999E-2</v>
      </c>
      <c r="F53" t="str">
        <f t="shared" si="4"/>
        <v>exec spAddFactor 'PIPIncLPI3','2000','12','0.011'</v>
      </c>
      <c r="H53" t="s">
        <v>209</v>
      </c>
      <c r="I53">
        <v>1989</v>
      </c>
      <c r="J53">
        <v>2011</v>
      </c>
      <c r="K53">
        <v>1.1579999999999999</v>
      </c>
    </row>
    <row r="54" spans="2:11" x14ac:dyDescent="0.35">
      <c r="B54" t="s">
        <v>330</v>
      </c>
      <c r="C54">
        <f t="shared" ref="C54:D54" si="14">C22</f>
        <v>2001</v>
      </c>
      <c r="D54">
        <f t="shared" si="14"/>
        <v>10</v>
      </c>
      <c r="E54">
        <f t="shared" si="3"/>
        <v>0.03</v>
      </c>
      <c r="F54" t="str">
        <f t="shared" si="4"/>
        <v>exec spAddFactor 'PIPIncLPI3','2001','10','0.03'</v>
      </c>
      <c r="H54" t="s">
        <v>209</v>
      </c>
      <c r="I54">
        <v>1990</v>
      </c>
      <c r="J54">
        <v>2011</v>
      </c>
      <c r="K54">
        <v>1.006</v>
      </c>
    </row>
    <row r="55" spans="2:11" x14ac:dyDescent="0.35">
      <c r="B55" t="s">
        <v>330</v>
      </c>
      <c r="C55">
        <f t="shared" ref="C55:D55" si="15">C23</f>
        <v>2002</v>
      </c>
      <c r="D55">
        <f t="shared" si="15"/>
        <v>9</v>
      </c>
      <c r="E55">
        <f t="shared" si="3"/>
        <v>1.7000000000000001E-2</v>
      </c>
      <c r="F55" t="str">
        <f t="shared" si="4"/>
        <v>exec spAddFactor 'PIPIncLPI3','2002','9','0.017'</v>
      </c>
      <c r="H55" t="s">
        <v>209</v>
      </c>
      <c r="I55">
        <v>1991</v>
      </c>
      <c r="J55">
        <v>2011</v>
      </c>
      <c r="K55">
        <v>0.80900000000000005</v>
      </c>
    </row>
    <row r="56" spans="2:11" x14ac:dyDescent="0.35">
      <c r="B56" t="s">
        <v>330</v>
      </c>
      <c r="C56">
        <f t="shared" ref="C56:D56" si="16">C24</f>
        <v>2003</v>
      </c>
      <c r="D56">
        <f t="shared" si="16"/>
        <v>8</v>
      </c>
      <c r="E56">
        <f t="shared" si="3"/>
        <v>1.7000000000000001E-2</v>
      </c>
      <c r="F56" t="str">
        <f t="shared" si="4"/>
        <v>exec spAddFactor 'PIPIncLPI3','2003','8','0.017'</v>
      </c>
      <c r="H56" t="s">
        <v>209</v>
      </c>
      <c r="I56">
        <v>1992</v>
      </c>
      <c r="J56">
        <v>2011</v>
      </c>
      <c r="K56">
        <v>0.73699999999999999</v>
      </c>
    </row>
    <row r="57" spans="2:11" x14ac:dyDescent="0.35">
      <c r="B57" t="s">
        <v>330</v>
      </c>
      <c r="C57">
        <f t="shared" ref="C57:D57" si="17">C25</f>
        <v>2004</v>
      </c>
      <c r="D57">
        <f t="shared" si="17"/>
        <v>7</v>
      </c>
      <c r="E57">
        <f t="shared" si="3"/>
        <v>2.8000000000000001E-2</v>
      </c>
      <c r="F57" t="str">
        <f t="shared" si="4"/>
        <v>exec spAddFactor 'PIPIncLPI3','2004','7','0.028'</v>
      </c>
      <c r="H57" t="s">
        <v>209</v>
      </c>
      <c r="I57">
        <v>1993</v>
      </c>
      <c r="J57">
        <v>2011</v>
      </c>
      <c r="K57">
        <v>0.67700000000000005</v>
      </c>
    </row>
    <row r="58" spans="2:11" x14ac:dyDescent="0.35">
      <c r="B58" t="s">
        <v>330</v>
      </c>
      <c r="C58">
        <f t="shared" ref="C58:D58" si="18">C26</f>
        <v>2005</v>
      </c>
      <c r="D58">
        <f t="shared" si="18"/>
        <v>12</v>
      </c>
      <c r="E58">
        <f t="shared" si="3"/>
        <v>0.03</v>
      </c>
      <c r="F58" t="str">
        <f t="shared" si="4"/>
        <v>exec spAddFactor 'PIPIncLPI3','2005','12','0.03'</v>
      </c>
      <c r="H58" t="s">
        <v>209</v>
      </c>
      <c r="I58">
        <v>1994</v>
      </c>
      <c r="J58">
        <v>2011</v>
      </c>
      <c r="K58">
        <v>0.64700000000000002</v>
      </c>
    </row>
    <row r="59" spans="2:11" x14ac:dyDescent="0.35">
      <c r="B59" t="s">
        <v>330</v>
      </c>
      <c r="C59">
        <f t="shared" ref="C59:D59" si="19">C27</f>
        <v>2006</v>
      </c>
      <c r="D59">
        <f t="shared" si="19"/>
        <v>11</v>
      </c>
      <c r="E59">
        <f t="shared" si="3"/>
        <v>2.7E-2</v>
      </c>
      <c r="F59" t="str">
        <f t="shared" si="4"/>
        <v>exec spAddFactor 'PIPIncLPI3','2006','11','0.027'</v>
      </c>
      <c r="H59" t="s">
        <v>209</v>
      </c>
      <c r="I59">
        <v>1995</v>
      </c>
      <c r="J59">
        <v>2011</v>
      </c>
      <c r="K59">
        <v>0.61199999999999999</v>
      </c>
    </row>
    <row r="60" spans="2:11" x14ac:dyDescent="0.35">
      <c r="B60" t="s">
        <v>330</v>
      </c>
      <c r="C60">
        <f t="shared" ref="C60:D60" si="20">C28</f>
        <v>2007</v>
      </c>
      <c r="D60">
        <f t="shared" si="20"/>
        <v>10</v>
      </c>
      <c r="E60">
        <f t="shared" si="3"/>
        <v>0.03</v>
      </c>
      <c r="F60" t="str">
        <f t="shared" si="4"/>
        <v>exec spAddFactor 'PIPIncLPI3','2007','10','0.03'</v>
      </c>
      <c r="H60" t="s">
        <v>209</v>
      </c>
      <c r="I60">
        <v>1996</v>
      </c>
      <c r="J60">
        <v>2011</v>
      </c>
      <c r="K60">
        <v>0.55100000000000005</v>
      </c>
    </row>
    <row r="61" spans="2:11" x14ac:dyDescent="0.35">
      <c r="B61" t="s">
        <v>330</v>
      </c>
      <c r="C61">
        <f t="shared" ref="C61:D61" si="21">C29</f>
        <v>2008</v>
      </c>
      <c r="D61">
        <f t="shared" si="21"/>
        <v>9</v>
      </c>
      <c r="E61">
        <f t="shared" si="3"/>
        <v>0.03</v>
      </c>
      <c r="F61" t="str">
        <f t="shared" si="4"/>
        <v>exec spAddFactor 'PIPIncLPI3','2008','9','0.03'</v>
      </c>
      <c r="H61" t="s">
        <v>209</v>
      </c>
      <c r="I61">
        <v>1997</v>
      </c>
      <c r="J61">
        <v>2011</v>
      </c>
      <c r="K61">
        <v>0.51900000000000002</v>
      </c>
    </row>
    <row r="62" spans="2:11" x14ac:dyDescent="0.35">
      <c r="B62" t="s">
        <v>330</v>
      </c>
      <c r="C62">
        <f t="shared" ref="C62:D62" si="22">C30</f>
        <v>2009</v>
      </c>
      <c r="D62">
        <f t="shared" si="22"/>
        <v>7</v>
      </c>
      <c r="E62">
        <f t="shared" si="3"/>
        <v>0.03</v>
      </c>
      <c r="F62" t="str">
        <f t="shared" si="4"/>
        <v>exec spAddFactor 'PIPIncLPI3','2009','7','0.03'</v>
      </c>
      <c r="H62" t="s">
        <v>209</v>
      </c>
      <c r="I62">
        <v>1998</v>
      </c>
      <c r="J62">
        <v>2011</v>
      </c>
      <c r="K62">
        <v>0.46700000000000003</v>
      </c>
    </row>
    <row r="63" spans="2:11" x14ac:dyDescent="0.35">
      <c r="B63" t="s">
        <v>330</v>
      </c>
      <c r="C63">
        <f t="shared" ref="C63:D63" si="23">C31</f>
        <v>2010</v>
      </c>
      <c r="D63">
        <f t="shared" si="23"/>
        <v>6</v>
      </c>
      <c r="E63">
        <f t="shared" si="3"/>
        <v>0</v>
      </c>
      <c r="F63" t="str">
        <f t="shared" si="4"/>
        <v>exec spAddFactor 'PIPIncLPI3','2010','6','0'</v>
      </c>
      <c r="H63" t="s">
        <v>209</v>
      </c>
      <c r="I63">
        <v>1999</v>
      </c>
      <c r="J63">
        <v>2011</v>
      </c>
      <c r="K63">
        <v>0.42099999999999999</v>
      </c>
    </row>
    <row r="64" spans="2:11" x14ac:dyDescent="0.35">
      <c r="B64" t="s">
        <v>330</v>
      </c>
      <c r="C64">
        <f t="shared" ref="C64:D64" si="24">C32</f>
        <v>2011</v>
      </c>
      <c r="D64">
        <f t="shared" si="24"/>
        <v>12</v>
      </c>
      <c r="E64">
        <f t="shared" si="3"/>
        <v>0.03</v>
      </c>
      <c r="F64" t="str">
        <f t="shared" si="4"/>
        <v>exec spAddFactor 'PIPIncLPI3','2011','12','0.03'</v>
      </c>
      <c r="H64" t="s">
        <v>209</v>
      </c>
      <c r="I64">
        <v>2000</v>
      </c>
      <c r="J64">
        <v>2011</v>
      </c>
      <c r="K64">
        <v>0.40600000000000003</v>
      </c>
    </row>
    <row r="65" spans="2:12" x14ac:dyDescent="0.35">
      <c r="B65" t="s">
        <v>330</v>
      </c>
      <c r="C65">
        <f t="shared" ref="C65:D65" si="25">C33</f>
        <v>2012</v>
      </c>
      <c r="D65">
        <f t="shared" si="25"/>
        <v>11</v>
      </c>
      <c r="E65">
        <f t="shared" si="3"/>
        <v>0.03</v>
      </c>
      <c r="F65" t="str">
        <f t="shared" si="4"/>
        <v>exec spAddFactor 'PIPIncLPI3','2012','11','0.03'</v>
      </c>
      <c r="H65" t="s">
        <v>209</v>
      </c>
      <c r="I65">
        <v>2001</v>
      </c>
      <c r="J65">
        <v>2011</v>
      </c>
      <c r="K65">
        <v>0.36099999999999999</v>
      </c>
    </row>
    <row r="66" spans="2:12" x14ac:dyDescent="0.35">
      <c r="B66" t="s">
        <v>330</v>
      </c>
      <c r="C66">
        <f t="shared" ref="C66:D66" si="26">C34</f>
        <v>2013</v>
      </c>
      <c r="D66">
        <f t="shared" si="26"/>
        <v>9</v>
      </c>
      <c r="E66">
        <f t="shared" si="3"/>
        <v>2.1999999999999999E-2</v>
      </c>
      <c r="F66" t="str">
        <f t="shared" si="4"/>
        <v>exec spAddFactor 'PIPIncLPI3','2013','9','0.022'</v>
      </c>
      <c r="H66" t="s">
        <v>209</v>
      </c>
      <c r="I66">
        <v>2002</v>
      </c>
      <c r="J66">
        <v>2011</v>
      </c>
      <c r="K66">
        <v>0.33800000000000002</v>
      </c>
    </row>
    <row r="67" spans="2:12" x14ac:dyDescent="0.35">
      <c r="B67" t="s">
        <v>330</v>
      </c>
      <c r="C67">
        <f t="shared" ref="C67:D67" si="27">C35</f>
        <v>2014</v>
      </c>
      <c r="D67">
        <f t="shared" si="27"/>
        <v>8</v>
      </c>
      <c r="E67">
        <f t="shared" si="3"/>
        <v>2.7E-2</v>
      </c>
      <c r="F67" t="str">
        <f t="shared" si="4"/>
        <v>exec spAddFactor 'PIPIncLPI3','2014','8','0.027'</v>
      </c>
      <c r="H67" t="s">
        <v>209</v>
      </c>
      <c r="I67">
        <v>2003</v>
      </c>
      <c r="J67">
        <v>2011</v>
      </c>
      <c r="K67">
        <v>0.316</v>
      </c>
    </row>
    <row r="68" spans="2:12" x14ac:dyDescent="0.35">
      <c r="B68" t="s">
        <v>330</v>
      </c>
      <c r="C68">
        <f t="shared" ref="C68:D68" si="28">C36</f>
        <v>2015</v>
      </c>
      <c r="D68">
        <f t="shared" si="28"/>
        <v>7</v>
      </c>
      <c r="E68">
        <f t="shared" si="3"/>
        <v>1.2E-2</v>
      </c>
      <c r="F68" t="str">
        <f t="shared" si="4"/>
        <v>exec spAddFactor 'PIPIncLPI3','2015','7','0.012'</v>
      </c>
      <c r="H68" t="s">
        <v>209</v>
      </c>
      <c r="I68">
        <v>2004</v>
      </c>
      <c r="J68">
        <v>2011</v>
      </c>
      <c r="K68">
        <v>0.28000000000000003</v>
      </c>
    </row>
    <row r="69" spans="2:12" x14ac:dyDescent="0.35">
      <c r="B69" t="s">
        <v>330</v>
      </c>
      <c r="C69">
        <f t="shared" ref="C69:D69" si="29">C37</f>
        <v>2016</v>
      </c>
      <c r="D69">
        <f t="shared" si="29"/>
        <v>6</v>
      </c>
      <c r="E69">
        <f t="shared" si="3"/>
        <v>0</v>
      </c>
      <c r="F69" t="str">
        <f t="shared" si="4"/>
        <v>exec spAddFactor 'PIPIncLPI3','2016','6','0'</v>
      </c>
      <c r="H69" t="s">
        <v>209</v>
      </c>
      <c r="I69">
        <v>2005</v>
      </c>
      <c r="J69">
        <v>2011</v>
      </c>
      <c r="K69">
        <v>0.24099999999999999</v>
      </c>
    </row>
    <row r="70" spans="2:12" x14ac:dyDescent="0.35">
      <c r="B70" t="s">
        <v>330</v>
      </c>
      <c r="C70">
        <f>C38</f>
        <v>2017</v>
      </c>
      <c r="D70">
        <f>D38</f>
        <v>11</v>
      </c>
      <c r="E70">
        <f>MIN(E38,0.03)</f>
        <v>0.01</v>
      </c>
      <c r="F70" t="str">
        <f>"exec spAddFactor '"&amp;B70&amp;"','"&amp;C70&amp;"','"&amp;D70&amp;"','"&amp;E70&amp;"'"</f>
        <v>exec spAddFactor 'PIPIncLPI3','2017','11','0.01'</v>
      </c>
      <c r="H70" t="s">
        <v>209</v>
      </c>
      <c r="I70">
        <v>2006</v>
      </c>
      <c r="J70">
        <v>2011</v>
      </c>
      <c r="K70">
        <v>0.20899999999999999</v>
      </c>
    </row>
    <row r="71" spans="2:12" x14ac:dyDescent="0.35">
      <c r="B71" t="s">
        <v>330</v>
      </c>
      <c r="C71">
        <f t="shared" ref="C71:D71" si="30">C39</f>
        <v>2018</v>
      </c>
      <c r="D71">
        <f t="shared" si="30"/>
        <v>10</v>
      </c>
      <c r="E71">
        <f t="shared" si="3"/>
        <v>0.03</v>
      </c>
      <c r="F71" t="str">
        <f t="shared" ref="F71:F74" si="31">"exec spAddFactor '"&amp;B71&amp;"','"&amp;C71&amp;"','"&amp;D71&amp;"','"&amp;E71&amp;"'"</f>
        <v>exec spAddFactor 'PIPIncLPI3','2018','10','0.03'</v>
      </c>
      <c r="H71" t="s">
        <v>209</v>
      </c>
      <c r="I71">
        <v>2007</v>
      </c>
      <c r="J71">
        <v>2011</v>
      </c>
      <c r="K71">
        <v>0.16700000000000001</v>
      </c>
    </row>
    <row r="72" spans="2:12" x14ac:dyDescent="0.35">
      <c r="B72" t="s">
        <v>330</v>
      </c>
      <c r="C72">
        <f t="shared" ref="C72:D72" si="32">C40</f>
        <v>2019</v>
      </c>
      <c r="D72">
        <f t="shared" si="32"/>
        <v>10</v>
      </c>
      <c r="E72">
        <f t="shared" si="3"/>
        <v>2.4E-2</v>
      </c>
      <c r="F72" t="str">
        <f t="shared" si="31"/>
        <v>exec spAddFactor 'PIPIncLPI3','2019','10','0.024'</v>
      </c>
      <c r="H72" t="s">
        <v>209</v>
      </c>
      <c r="I72">
        <v>2008</v>
      </c>
      <c r="J72">
        <v>2011</v>
      </c>
      <c r="K72">
        <v>0.123</v>
      </c>
    </row>
    <row r="73" spans="2:12" x14ac:dyDescent="0.35">
      <c r="B73" t="s">
        <v>330</v>
      </c>
      <c r="C73">
        <f t="shared" ref="C73:D73" si="33">C41</f>
        <v>2020</v>
      </c>
      <c r="D73">
        <f t="shared" si="33"/>
        <v>10</v>
      </c>
      <c r="E73">
        <f t="shared" si="3"/>
        <v>1.7000000000000001E-2</v>
      </c>
      <c r="F73" t="str">
        <f t="shared" si="31"/>
        <v>exec spAddFactor 'PIPIncLPI3','2020','10','0.017'</v>
      </c>
      <c r="H73" t="s">
        <v>209</v>
      </c>
      <c r="I73">
        <v>2009</v>
      </c>
      <c r="J73">
        <v>2011</v>
      </c>
      <c r="K73">
        <v>6.9000000000000006E-2</v>
      </c>
    </row>
    <row r="74" spans="2:12" x14ac:dyDescent="0.35">
      <c r="B74" t="s">
        <v>330</v>
      </c>
      <c r="C74">
        <f t="shared" ref="C74:D74" si="34">C42</f>
        <v>2021</v>
      </c>
      <c r="D74">
        <f t="shared" si="34"/>
        <v>12</v>
      </c>
      <c r="E74">
        <f t="shared" si="3"/>
        <v>5.0000000000000001E-3</v>
      </c>
      <c r="F74" t="str">
        <f t="shared" si="31"/>
        <v>exec spAddFactor 'PIPIncLPI3','2021','12','0.005'</v>
      </c>
      <c r="H74" t="s">
        <v>209</v>
      </c>
      <c r="I74">
        <v>2010</v>
      </c>
      <c r="J74">
        <v>2011</v>
      </c>
      <c r="K74">
        <v>8.5000000000000006E-2</v>
      </c>
    </row>
    <row r="75" spans="2:12" x14ac:dyDescent="0.35">
      <c r="B75" t="s">
        <v>331</v>
      </c>
      <c r="C75">
        <f>C11</f>
        <v>1990</v>
      </c>
      <c r="D75">
        <f>D11</f>
        <v>10</v>
      </c>
      <c r="E75">
        <f>MIN(E11,0.05)</f>
        <v>0.05</v>
      </c>
      <c r="F75" t="str">
        <f>"exec spAddFactor '"&amp;B75&amp;"','"&amp;C75&amp;"','"&amp;D75&amp;"','"&amp;E75&amp;"'"</f>
        <v>exec spAddFactor 'PIPIncLPI5','1990','10','0.05'</v>
      </c>
      <c r="H75" t="s">
        <v>209</v>
      </c>
      <c r="I75">
        <v>2011</v>
      </c>
      <c r="J75">
        <v>2011</v>
      </c>
      <c r="K75">
        <v>0.05</v>
      </c>
    </row>
    <row r="76" spans="2:12" x14ac:dyDescent="0.35">
      <c r="B76" t="s">
        <v>331</v>
      </c>
      <c r="C76">
        <f t="shared" ref="C76:D76" si="35">C12</f>
        <v>1991</v>
      </c>
      <c r="D76">
        <f t="shared" si="35"/>
        <v>9</v>
      </c>
      <c r="E76">
        <f t="shared" ref="E76:E106" si="36">MIN(E12,0.05)</f>
        <v>0.05</v>
      </c>
      <c r="F76" t="str">
        <f t="shared" ref="F76:F78" si="37">"exec spAddFactor '"&amp;B76&amp;"','"&amp;C76&amp;"','"&amp;D76&amp;"','"&amp;E76&amp;"'"</f>
        <v>exec spAddFactor 'PIPIncLPI5','1991','9','0.05'</v>
      </c>
    </row>
    <row r="77" spans="2:12" x14ac:dyDescent="0.35">
      <c r="B77" t="s">
        <v>331</v>
      </c>
      <c r="C77">
        <f t="shared" ref="C77:D77" si="38">C13</f>
        <v>1992</v>
      </c>
      <c r="D77">
        <f t="shared" si="38"/>
        <v>8</v>
      </c>
      <c r="E77">
        <f t="shared" si="36"/>
        <v>4.1000000000000002E-2</v>
      </c>
      <c r="F77" t="str">
        <f t="shared" si="37"/>
        <v>exec spAddFactor 'PIPIncLPI5','1992','8','0.041'</v>
      </c>
      <c r="H77" t="s">
        <v>332</v>
      </c>
      <c r="I77">
        <v>1990</v>
      </c>
      <c r="J77">
        <v>1</v>
      </c>
      <c r="K77">
        <v>2.5000000000000001E-2</v>
      </c>
      <c r="L77" t="str">
        <f t="shared" ref="L77:L105" si="39">"exec spAddFactor '"&amp;H77&amp;"','"&amp;I77&amp;"','"&amp;J77&amp;"','"&amp;K77&amp;"'"</f>
        <v>exec spAddFactor 'DiscountRateABI','1990','1','0.025'</v>
      </c>
    </row>
    <row r="78" spans="2:12" x14ac:dyDescent="0.35">
      <c r="B78" t="s">
        <v>331</v>
      </c>
      <c r="C78">
        <f t="shared" ref="C78:D78" si="40">C14</f>
        <v>1993</v>
      </c>
      <c r="D78">
        <f t="shared" si="40"/>
        <v>6</v>
      </c>
      <c r="E78">
        <f t="shared" si="36"/>
        <v>3.5999999999999997E-2</v>
      </c>
      <c r="F78" t="str">
        <f t="shared" si="37"/>
        <v>exec spAddFactor 'PIPIncLPI5','1993','6','0.036'</v>
      </c>
      <c r="H78" t="s">
        <v>332</v>
      </c>
      <c r="I78">
        <v>1991</v>
      </c>
      <c r="J78">
        <v>1</v>
      </c>
      <c r="K78">
        <v>2.5000000000000001E-2</v>
      </c>
      <c r="L78" t="str">
        <f t="shared" si="39"/>
        <v>exec spAddFactor 'DiscountRateABI','1991','1','0.025'</v>
      </c>
    </row>
    <row r="79" spans="2:12" x14ac:dyDescent="0.35">
      <c r="B79" t="s">
        <v>331</v>
      </c>
      <c r="C79">
        <f t="shared" ref="C79:D79" si="41">C15</f>
        <v>1994</v>
      </c>
      <c r="D79">
        <f t="shared" si="41"/>
        <v>12</v>
      </c>
      <c r="E79">
        <f t="shared" si="36"/>
        <v>1.7999999999999999E-2</v>
      </c>
      <c r="F79" t="str">
        <f t="shared" ref="F79:F106" si="42">"exec spAddFactor '"&amp;B79&amp;"','"&amp;C79&amp;"','"&amp;D79&amp;"','"&amp;E79&amp;"'"</f>
        <v>exec spAddFactor 'PIPIncLPI5','1994','12','0.018'</v>
      </c>
      <c r="H79" t="s">
        <v>332</v>
      </c>
      <c r="I79">
        <v>1992</v>
      </c>
      <c r="J79">
        <v>1</v>
      </c>
      <c r="K79">
        <v>2.5000000000000001E-2</v>
      </c>
      <c r="L79" t="str">
        <f t="shared" si="39"/>
        <v>exec spAddFactor 'DiscountRateABI','1992','1','0.025'</v>
      </c>
    </row>
    <row r="80" spans="2:12" x14ac:dyDescent="0.35">
      <c r="B80" t="s">
        <v>331</v>
      </c>
      <c r="C80">
        <f t="shared" ref="C80:D80" si="43">C16</f>
        <v>1995</v>
      </c>
      <c r="D80">
        <f t="shared" si="43"/>
        <v>11</v>
      </c>
      <c r="E80">
        <f t="shared" si="36"/>
        <v>2.1999999999999999E-2</v>
      </c>
      <c r="F80" t="str">
        <f t="shared" si="42"/>
        <v>exec spAddFactor 'PIPIncLPI5','1995','11','0.022'</v>
      </c>
      <c r="H80" t="s">
        <v>332</v>
      </c>
      <c r="I80">
        <v>1993</v>
      </c>
      <c r="J80">
        <v>1</v>
      </c>
      <c r="K80">
        <v>2.5000000000000001E-2</v>
      </c>
      <c r="L80" t="str">
        <f t="shared" si="39"/>
        <v>exec spAddFactor 'DiscountRateABI','1993','1','0.025'</v>
      </c>
    </row>
    <row r="81" spans="2:12" x14ac:dyDescent="0.35">
      <c r="B81" t="s">
        <v>331</v>
      </c>
      <c r="C81">
        <f t="shared" ref="C81:D81" si="44">C17</f>
        <v>1996</v>
      </c>
      <c r="D81">
        <f t="shared" si="44"/>
        <v>10</v>
      </c>
      <c r="E81">
        <f t="shared" si="36"/>
        <v>3.9E-2</v>
      </c>
      <c r="F81" t="str">
        <f t="shared" si="42"/>
        <v>exec spAddFactor 'PIPIncLPI5','1996','10','0.039'</v>
      </c>
      <c r="H81" t="s">
        <v>332</v>
      </c>
      <c r="I81">
        <v>1994</v>
      </c>
      <c r="J81">
        <v>1</v>
      </c>
      <c r="K81">
        <v>2.5000000000000001E-2</v>
      </c>
      <c r="L81" t="str">
        <f t="shared" si="39"/>
        <v>exec spAddFactor 'DiscountRateABI','1994','1','0.025'</v>
      </c>
    </row>
    <row r="82" spans="2:12" x14ac:dyDescent="0.35">
      <c r="B82" t="s">
        <v>331</v>
      </c>
      <c r="C82">
        <f t="shared" ref="C82:D82" si="45">C18</f>
        <v>1997</v>
      </c>
      <c r="D82">
        <f t="shared" si="45"/>
        <v>8</v>
      </c>
      <c r="E82">
        <f t="shared" si="36"/>
        <v>2.1000000000000001E-2</v>
      </c>
      <c r="F82" t="str">
        <f t="shared" si="42"/>
        <v>exec spAddFactor 'PIPIncLPI5','1997','8','0.021'</v>
      </c>
      <c r="H82" t="s">
        <v>332</v>
      </c>
      <c r="I82">
        <v>1995</v>
      </c>
      <c r="J82">
        <v>1</v>
      </c>
      <c r="K82">
        <v>2.5000000000000001E-2</v>
      </c>
      <c r="L82" t="str">
        <f t="shared" si="39"/>
        <v>exec spAddFactor 'DiscountRateABI','1995','1','0.025'</v>
      </c>
    </row>
    <row r="83" spans="2:12" x14ac:dyDescent="0.35">
      <c r="B83" t="s">
        <v>331</v>
      </c>
      <c r="C83">
        <f t="shared" ref="C83:D83" si="46">C19</f>
        <v>1998</v>
      </c>
      <c r="D83">
        <f t="shared" si="46"/>
        <v>7</v>
      </c>
      <c r="E83">
        <f t="shared" si="36"/>
        <v>3.5999999999999997E-2</v>
      </c>
      <c r="F83" t="str">
        <f t="shared" si="42"/>
        <v>exec spAddFactor 'PIPIncLPI5','1998','7','0.036'</v>
      </c>
      <c r="H83" t="s">
        <v>332</v>
      </c>
      <c r="I83">
        <v>1996</v>
      </c>
      <c r="J83">
        <v>1</v>
      </c>
      <c r="K83">
        <v>2.5000000000000001E-2</v>
      </c>
      <c r="L83" t="str">
        <f t="shared" si="39"/>
        <v>exec spAddFactor 'DiscountRateABI','1996','1','0.025'</v>
      </c>
    </row>
    <row r="84" spans="2:12" x14ac:dyDescent="0.35">
      <c r="B84" t="s">
        <v>331</v>
      </c>
      <c r="C84">
        <f t="shared" ref="C84:D84" si="47">C20</f>
        <v>1999</v>
      </c>
      <c r="D84">
        <f t="shared" si="47"/>
        <v>6</v>
      </c>
      <c r="E84">
        <f t="shared" si="36"/>
        <v>3.2000000000000001E-2</v>
      </c>
      <c r="F84" t="str">
        <f t="shared" si="42"/>
        <v>exec spAddFactor 'PIPIncLPI5','1999','6','0.032'</v>
      </c>
      <c r="H84" t="s">
        <v>332</v>
      </c>
      <c r="I84">
        <v>1997</v>
      </c>
      <c r="J84">
        <v>1</v>
      </c>
      <c r="K84">
        <v>2.5000000000000001E-2</v>
      </c>
      <c r="L84" t="str">
        <f t="shared" si="39"/>
        <v>exec spAddFactor 'DiscountRateABI','1997','1','0.025'</v>
      </c>
    </row>
    <row r="85" spans="2:12" x14ac:dyDescent="0.35">
      <c r="B85" t="s">
        <v>331</v>
      </c>
      <c r="C85">
        <f t="shared" ref="C85:D85" si="48">C21</f>
        <v>2000</v>
      </c>
      <c r="D85">
        <f t="shared" si="48"/>
        <v>12</v>
      </c>
      <c r="E85">
        <f t="shared" si="36"/>
        <v>1.0999999999999999E-2</v>
      </c>
      <c r="F85" t="str">
        <f t="shared" si="42"/>
        <v>exec spAddFactor 'PIPIncLPI5','2000','12','0.011'</v>
      </c>
      <c r="H85" t="s">
        <v>332</v>
      </c>
      <c r="I85">
        <v>1998</v>
      </c>
      <c r="J85">
        <v>1</v>
      </c>
      <c r="K85">
        <v>2.5000000000000001E-2</v>
      </c>
      <c r="L85" t="str">
        <f t="shared" si="39"/>
        <v>exec spAddFactor 'DiscountRateABI','1998','1','0.025'</v>
      </c>
    </row>
    <row r="86" spans="2:12" x14ac:dyDescent="0.35">
      <c r="B86" t="s">
        <v>331</v>
      </c>
      <c r="C86">
        <f t="shared" ref="C86:D86" si="49">C22</f>
        <v>2001</v>
      </c>
      <c r="D86">
        <f t="shared" si="49"/>
        <v>10</v>
      </c>
      <c r="E86">
        <f t="shared" si="36"/>
        <v>3.3000000000000002E-2</v>
      </c>
      <c r="F86" t="str">
        <f t="shared" si="42"/>
        <v>exec spAddFactor 'PIPIncLPI5','2001','10','0.033'</v>
      </c>
      <c r="H86" t="s">
        <v>332</v>
      </c>
      <c r="I86">
        <v>1999</v>
      </c>
      <c r="J86">
        <v>1</v>
      </c>
      <c r="K86">
        <v>2.5000000000000001E-2</v>
      </c>
      <c r="L86" t="str">
        <f t="shared" si="39"/>
        <v>exec spAddFactor 'DiscountRateABI','1999','1','0.025'</v>
      </c>
    </row>
    <row r="87" spans="2:12" x14ac:dyDescent="0.35">
      <c r="B87" t="s">
        <v>331</v>
      </c>
      <c r="C87">
        <f t="shared" ref="C87:D87" si="50">C23</f>
        <v>2002</v>
      </c>
      <c r="D87">
        <f t="shared" si="50"/>
        <v>9</v>
      </c>
      <c r="E87">
        <f t="shared" si="36"/>
        <v>1.7000000000000001E-2</v>
      </c>
      <c r="F87" t="str">
        <f t="shared" si="42"/>
        <v>exec spAddFactor 'PIPIncLPI5','2002','9','0.017'</v>
      </c>
      <c r="H87" t="s">
        <v>332</v>
      </c>
      <c r="I87">
        <v>2000</v>
      </c>
      <c r="J87">
        <v>1</v>
      </c>
      <c r="K87">
        <v>2.5000000000000001E-2</v>
      </c>
      <c r="L87" t="str">
        <f t="shared" si="39"/>
        <v>exec spAddFactor 'DiscountRateABI','2000','1','0.025'</v>
      </c>
    </row>
    <row r="88" spans="2:12" x14ac:dyDescent="0.35">
      <c r="B88" t="s">
        <v>331</v>
      </c>
      <c r="C88">
        <f t="shared" ref="C88:D88" si="51">C24</f>
        <v>2003</v>
      </c>
      <c r="D88">
        <f t="shared" si="51"/>
        <v>8</v>
      </c>
      <c r="E88">
        <f t="shared" si="36"/>
        <v>1.7000000000000001E-2</v>
      </c>
      <c r="F88" t="str">
        <f t="shared" si="42"/>
        <v>exec spAddFactor 'PIPIncLPI5','2003','8','0.017'</v>
      </c>
      <c r="H88" t="s">
        <v>332</v>
      </c>
      <c r="I88">
        <v>2001</v>
      </c>
      <c r="J88">
        <v>1</v>
      </c>
      <c r="K88">
        <v>2.5000000000000001E-2</v>
      </c>
      <c r="L88" t="str">
        <f t="shared" si="39"/>
        <v>exec spAddFactor 'DiscountRateABI','2001','1','0.025'</v>
      </c>
    </row>
    <row r="89" spans="2:12" x14ac:dyDescent="0.35">
      <c r="B89" t="s">
        <v>331</v>
      </c>
      <c r="C89">
        <f t="shared" ref="C89:D89" si="52">C25</f>
        <v>2004</v>
      </c>
      <c r="D89">
        <f t="shared" si="52"/>
        <v>7</v>
      </c>
      <c r="E89">
        <f t="shared" si="36"/>
        <v>2.8000000000000001E-2</v>
      </c>
      <c r="F89" t="str">
        <f t="shared" si="42"/>
        <v>exec spAddFactor 'PIPIncLPI5','2004','7','0.028'</v>
      </c>
      <c r="H89" t="s">
        <v>332</v>
      </c>
      <c r="I89">
        <v>2002</v>
      </c>
      <c r="J89">
        <v>1</v>
      </c>
      <c r="K89">
        <v>2.5000000000000001E-2</v>
      </c>
      <c r="L89" t="str">
        <f t="shared" si="39"/>
        <v>exec spAddFactor 'DiscountRateABI','2002','1','0.025'</v>
      </c>
    </row>
    <row r="90" spans="2:12" x14ac:dyDescent="0.35">
      <c r="B90" t="s">
        <v>331</v>
      </c>
      <c r="C90">
        <f t="shared" ref="C90:D90" si="53">C26</f>
        <v>2005</v>
      </c>
      <c r="D90">
        <f t="shared" si="53"/>
        <v>12</v>
      </c>
      <c r="E90">
        <f t="shared" si="36"/>
        <v>3.1E-2</v>
      </c>
      <c r="F90" t="str">
        <f t="shared" si="42"/>
        <v>exec spAddFactor 'PIPIncLPI5','2005','12','0.031'</v>
      </c>
      <c r="H90" t="s">
        <v>332</v>
      </c>
      <c r="I90">
        <v>2003</v>
      </c>
      <c r="J90">
        <v>1</v>
      </c>
      <c r="K90">
        <v>2.5000000000000001E-2</v>
      </c>
      <c r="L90" t="str">
        <f t="shared" si="39"/>
        <v>exec spAddFactor 'DiscountRateABI','2003','1','0.025'</v>
      </c>
    </row>
    <row r="91" spans="2:12" x14ac:dyDescent="0.35">
      <c r="B91" t="s">
        <v>331</v>
      </c>
      <c r="C91">
        <f t="shared" ref="C91:D91" si="54">C27</f>
        <v>2006</v>
      </c>
      <c r="D91">
        <f t="shared" si="54"/>
        <v>11</v>
      </c>
      <c r="E91">
        <f t="shared" si="36"/>
        <v>2.7E-2</v>
      </c>
      <c r="F91" t="str">
        <f t="shared" si="42"/>
        <v>exec spAddFactor 'PIPIncLPI5','2006','11','0.027'</v>
      </c>
      <c r="H91" t="s">
        <v>332</v>
      </c>
      <c r="I91">
        <v>2004</v>
      </c>
      <c r="J91">
        <v>1</v>
      </c>
      <c r="K91">
        <v>2.5000000000000001E-2</v>
      </c>
      <c r="L91" t="str">
        <f t="shared" si="39"/>
        <v>exec spAddFactor 'DiscountRateABI','2004','1','0.025'</v>
      </c>
    </row>
    <row r="92" spans="2:12" x14ac:dyDescent="0.35">
      <c r="B92" t="s">
        <v>331</v>
      </c>
      <c r="C92">
        <f t="shared" ref="C92:D92" si="55">C28</f>
        <v>2007</v>
      </c>
      <c r="D92">
        <f t="shared" si="55"/>
        <v>10</v>
      </c>
      <c r="E92">
        <f t="shared" si="36"/>
        <v>3.5999999999999997E-2</v>
      </c>
      <c r="F92" t="str">
        <f t="shared" si="42"/>
        <v>exec spAddFactor 'PIPIncLPI5','2007','10','0.036'</v>
      </c>
      <c r="H92" t="s">
        <v>332</v>
      </c>
      <c r="I92">
        <v>2005</v>
      </c>
      <c r="J92">
        <v>1</v>
      </c>
      <c r="K92">
        <v>2.5000000000000001E-2</v>
      </c>
      <c r="L92" t="str">
        <f t="shared" si="39"/>
        <v>exec spAddFactor 'DiscountRateABI','2005','1','0.025'</v>
      </c>
    </row>
    <row r="93" spans="2:12" x14ac:dyDescent="0.35">
      <c r="B93" t="s">
        <v>331</v>
      </c>
      <c r="C93">
        <f t="shared" ref="C93:D93" si="56">C29</f>
        <v>2008</v>
      </c>
      <c r="D93">
        <f t="shared" si="56"/>
        <v>9</v>
      </c>
      <c r="E93">
        <f t="shared" si="36"/>
        <v>3.9E-2</v>
      </c>
      <c r="F93" t="str">
        <f t="shared" si="42"/>
        <v>exec spAddFactor 'PIPIncLPI5','2008','9','0.039'</v>
      </c>
      <c r="H93" t="s">
        <v>332</v>
      </c>
      <c r="I93">
        <v>2006</v>
      </c>
      <c r="J93">
        <v>1</v>
      </c>
      <c r="K93">
        <v>2.5000000000000001E-2</v>
      </c>
      <c r="L93" t="str">
        <f t="shared" si="39"/>
        <v>exec spAddFactor 'DiscountRateABI','2006','1','0.025'</v>
      </c>
    </row>
    <row r="94" spans="2:12" x14ac:dyDescent="0.35">
      <c r="B94" t="s">
        <v>331</v>
      </c>
      <c r="C94">
        <f t="shared" ref="C94:D94" si="57">C30</f>
        <v>2009</v>
      </c>
      <c r="D94">
        <f t="shared" si="57"/>
        <v>7</v>
      </c>
      <c r="E94">
        <f t="shared" si="36"/>
        <v>0.05</v>
      </c>
      <c r="F94" t="str">
        <f t="shared" si="42"/>
        <v>exec spAddFactor 'PIPIncLPI5','2009','7','0.05'</v>
      </c>
      <c r="H94" t="s">
        <v>332</v>
      </c>
      <c r="I94">
        <v>2007</v>
      </c>
      <c r="J94">
        <v>1</v>
      </c>
      <c r="K94">
        <v>2.5000000000000001E-2</v>
      </c>
      <c r="L94" t="str">
        <f t="shared" si="39"/>
        <v>exec spAddFactor 'DiscountRateABI','2007','1','0.025'</v>
      </c>
    </row>
    <row r="95" spans="2:12" x14ac:dyDescent="0.35">
      <c r="B95" t="s">
        <v>331</v>
      </c>
      <c r="C95">
        <f t="shared" ref="C95:D95" si="58">C31</f>
        <v>2010</v>
      </c>
      <c r="D95">
        <f t="shared" si="58"/>
        <v>6</v>
      </c>
      <c r="E95">
        <f t="shared" si="36"/>
        <v>0</v>
      </c>
      <c r="F95" t="str">
        <f t="shared" si="42"/>
        <v>exec spAddFactor 'PIPIncLPI5','2010','6','0'</v>
      </c>
      <c r="H95" t="s">
        <v>332</v>
      </c>
      <c r="I95">
        <v>2008</v>
      </c>
      <c r="J95">
        <v>1</v>
      </c>
      <c r="K95">
        <v>2.5000000000000001E-2</v>
      </c>
      <c r="L95" t="str">
        <f t="shared" si="39"/>
        <v>exec spAddFactor 'DiscountRateABI','2008','1','0.025'</v>
      </c>
    </row>
    <row r="96" spans="2:12" x14ac:dyDescent="0.35">
      <c r="B96" t="s">
        <v>331</v>
      </c>
      <c r="C96">
        <f t="shared" ref="C96:D96" si="59">C32</f>
        <v>2011</v>
      </c>
      <c r="D96">
        <f t="shared" si="59"/>
        <v>12</v>
      </c>
      <c r="E96">
        <f t="shared" si="36"/>
        <v>3.1E-2</v>
      </c>
      <c r="F96" t="str">
        <f t="shared" si="42"/>
        <v>exec spAddFactor 'PIPIncLPI5','2011','12','0.031'</v>
      </c>
      <c r="H96" t="s">
        <v>332</v>
      </c>
      <c r="I96">
        <v>2009</v>
      </c>
      <c r="J96">
        <v>1</v>
      </c>
      <c r="K96">
        <v>2.5000000000000001E-2</v>
      </c>
      <c r="L96" t="str">
        <f t="shared" si="39"/>
        <v>exec spAddFactor 'DiscountRateABI','2009','1','0.025'</v>
      </c>
    </row>
    <row r="97" spans="2:12" x14ac:dyDescent="0.35">
      <c r="B97" t="s">
        <v>331</v>
      </c>
      <c r="C97">
        <f t="shared" ref="C97:D97" si="60">C33</f>
        <v>2012</v>
      </c>
      <c r="D97">
        <f t="shared" si="60"/>
        <v>11</v>
      </c>
      <c r="E97">
        <f t="shared" si="36"/>
        <v>0.05</v>
      </c>
      <c r="F97" t="str">
        <f t="shared" si="42"/>
        <v>exec spAddFactor 'PIPIncLPI5','2012','11','0.05'</v>
      </c>
      <c r="H97" t="s">
        <v>332</v>
      </c>
      <c r="I97">
        <v>2010</v>
      </c>
      <c r="J97">
        <v>1</v>
      </c>
      <c r="K97">
        <v>2.5000000000000001E-2</v>
      </c>
      <c r="L97" t="str">
        <f t="shared" si="39"/>
        <v>exec spAddFactor 'DiscountRateABI','2010','1','0.025'</v>
      </c>
    </row>
    <row r="98" spans="2:12" x14ac:dyDescent="0.35">
      <c r="B98" t="s">
        <v>331</v>
      </c>
      <c r="C98">
        <f t="shared" ref="C98:D98" si="61">C34</f>
        <v>2013</v>
      </c>
      <c r="D98">
        <f t="shared" si="61"/>
        <v>9</v>
      </c>
      <c r="E98">
        <f t="shared" si="36"/>
        <v>2.1999999999999999E-2</v>
      </c>
      <c r="F98" t="str">
        <f t="shared" si="42"/>
        <v>exec spAddFactor 'PIPIncLPI5','2013','9','0.022'</v>
      </c>
      <c r="H98" t="s">
        <v>332</v>
      </c>
      <c r="I98">
        <v>2011</v>
      </c>
      <c r="J98">
        <v>1</v>
      </c>
      <c r="K98">
        <v>2.5000000000000001E-2</v>
      </c>
      <c r="L98" t="str">
        <f t="shared" si="39"/>
        <v>exec spAddFactor 'DiscountRateABI','2011','1','0.025'</v>
      </c>
    </row>
    <row r="99" spans="2:12" x14ac:dyDescent="0.35">
      <c r="B99" t="s">
        <v>331</v>
      </c>
      <c r="C99">
        <f t="shared" ref="C99:D99" si="62">C35</f>
        <v>2014</v>
      </c>
      <c r="D99">
        <f t="shared" si="62"/>
        <v>8</v>
      </c>
      <c r="E99">
        <f t="shared" si="36"/>
        <v>2.7E-2</v>
      </c>
      <c r="F99" t="str">
        <f t="shared" si="42"/>
        <v>exec spAddFactor 'PIPIncLPI5','2014','8','0.027'</v>
      </c>
      <c r="H99" t="s">
        <v>332</v>
      </c>
      <c r="I99">
        <v>2012</v>
      </c>
      <c r="J99">
        <v>1</v>
      </c>
      <c r="K99">
        <v>2.5000000000000001E-2</v>
      </c>
      <c r="L99" t="str">
        <f t="shared" si="39"/>
        <v>exec spAddFactor 'DiscountRateABI','2012','1','0.025'</v>
      </c>
    </row>
    <row r="100" spans="2:12" x14ac:dyDescent="0.35">
      <c r="B100" t="s">
        <v>331</v>
      </c>
      <c r="C100">
        <f t="shared" ref="C100:D100" si="63">C36</f>
        <v>2015</v>
      </c>
      <c r="D100">
        <f t="shared" si="63"/>
        <v>7</v>
      </c>
      <c r="E100">
        <f t="shared" si="36"/>
        <v>1.2E-2</v>
      </c>
      <c r="F100" t="str">
        <f t="shared" si="42"/>
        <v>exec spAddFactor 'PIPIncLPI5','2015','7','0.012'</v>
      </c>
      <c r="H100" t="s">
        <v>332</v>
      </c>
      <c r="I100">
        <v>2013</v>
      </c>
      <c r="J100">
        <v>1</v>
      </c>
      <c r="K100">
        <v>2.5000000000000001E-2</v>
      </c>
      <c r="L100" t="str">
        <f t="shared" si="39"/>
        <v>exec spAddFactor 'DiscountRateABI','2013','1','0.025'</v>
      </c>
    </row>
    <row r="101" spans="2:12" x14ac:dyDescent="0.35">
      <c r="B101" t="s">
        <v>331</v>
      </c>
      <c r="C101">
        <f t="shared" ref="C101:D101" si="64">C37</f>
        <v>2016</v>
      </c>
      <c r="D101">
        <f t="shared" si="64"/>
        <v>6</v>
      </c>
      <c r="E101">
        <f t="shared" si="36"/>
        <v>0</v>
      </c>
      <c r="F101" t="str">
        <f t="shared" si="42"/>
        <v>exec spAddFactor 'PIPIncLPI5','2016','6','0'</v>
      </c>
      <c r="H101" t="s">
        <v>332</v>
      </c>
      <c r="I101">
        <v>2014</v>
      </c>
      <c r="J101">
        <v>1</v>
      </c>
      <c r="K101">
        <v>2.5000000000000001E-2</v>
      </c>
      <c r="L101" t="str">
        <f t="shared" si="39"/>
        <v>exec spAddFactor 'DiscountRateABI','2014','1','0.025'</v>
      </c>
    </row>
    <row r="102" spans="2:12" x14ac:dyDescent="0.35">
      <c r="B102" t="s">
        <v>331</v>
      </c>
      <c r="C102">
        <f t="shared" ref="C102:D102" si="65">C38</f>
        <v>2017</v>
      </c>
      <c r="D102">
        <f t="shared" si="65"/>
        <v>11</v>
      </c>
      <c r="E102">
        <f t="shared" si="36"/>
        <v>0.01</v>
      </c>
      <c r="F102" t="str">
        <f t="shared" si="42"/>
        <v>exec spAddFactor 'PIPIncLPI5','2017','11','0.01'</v>
      </c>
      <c r="H102" t="s">
        <v>332</v>
      </c>
      <c r="I102">
        <v>2015</v>
      </c>
      <c r="J102">
        <v>1</v>
      </c>
      <c r="K102">
        <v>2.5000000000000001E-2</v>
      </c>
      <c r="L102" t="str">
        <f t="shared" si="39"/>
        <v>exec spAddFactor 'DiscountRateABI','2015','1','0.025'</v>
      </c>
    </row>
    <row r="103" spans="2:12" x14ac:dyDescent="0.35">
      <c r="B103" t="s">
        <v>331</v>
      </c>
      <c r="C103">
        <f t="shared" ref="C103:D103" si="66">C39</f>
        <v>2018</v>
      </c>
      <c r="D103">
        <f t="shared" si="66"/>
        <v>10</v>
      </c>
      <c r="E103">
        <f t="shared" si="36"/>
        <v>0.03</v>
      </c>
      <c r="F103" t="str">
        <f t="shared" si="42"/>
        <v>exec spAddFactor 'PIPIncLPI5','2018','10','0.03'</v>
      </c>
      <c r="H103" t="s">
        <v>332</v>
      </c>
      <c r="I103">
        <v>2016</v>
      </c>
      <c r="J103">
        <v>1</v>
      </c>
      <c r="K103">
        <v>2.5000000000000001E-2</v>
      </c>
      <c r="L103" t="str">
        <f t="shared" si="39"/>
        <v>exec spAddFactor 'DiscountRateABI','2016','1','0.025'</v>
      </c>
    </row>
    <row r="104" spans="2:12" x14ac:dyDescent="0.35">
      <c r="B104" t="s">
        <v>331</v>
      </c>
      <c r="C104">
        <f t="shared" ref="C104:D104" si="67">C40</f>
        <v>2019</v>
      </c>
      <c r="D104">
        <f t="shared" si="67"/>
        <v>10</v>
      </c>
      <c r="E104">
        <f t="shared" si="36"/>
        <v>2.4E-2</v>
      </c>
      <c r="F104" t="str">
        <f t="shared" si="42"/>
        <v>exec spAddFactor 'PIPIncLPI5','2019','10','0.024'</v>
      </c>
      <c r="H104" t="s">
        <v>332</v>
      </c>
      <c r="I104">
        <v>2017</v>
      </c>
      <c r="J104">
        <v>1</v>
      </c>
      <c r="K104">
        <v>-1.7000000000000001E-2</v>
      </c>
      <c r="L104" t="str">
        <f t="shared" si="39"/>
        <v>exec spAddFactor 'DiscountRateABI','2017','1','-0.017'</v>
      </c>
    </row>
    <row r="105" spans="2:12" x14ac:dyDescent="0.35">
      <c r="B105" t="s">
        <v>331</v>
      </c>
      <c r="C105">
        <f t="shared" ref="C105:D105" si="68">C41</f>
        <v>2020</v>
      </c>
      <c r="D105">
        <f t="shared" si="68"/>
        <v>10</v>
      </c>
      <c r="E105">
        <f t="shared" si="36"/>
        <v>1.7000000000000001E-2</v>
      </c>
      <c r="F105" t="str">
        <f t="shared" si="42"/>
        <v>exec spAddFactor 'PIPIncLPI5','2020','10','0.017'</v>
      </c>
      <c r="H105" t="s">
        <v>332</v>
      </c>
      <c r="I105">
        <v>2018</v>
      </c>
      <c r="J105">
        <v>1</v>
      </c>
      <c r="K105">
        <v>-1.7000000000000001E-2</v>
      </c>
      <c r="L105" t="str">
        <f t="shared" si="39"/>
        <v>exec spAddFactor 'DiscountRateABI','2018','1','-0.017'</v>
      </c>
    </row>
    <row r="106" spans="2:12" x14ac:dyDescent="0.35">
      <c r="B106" t="s">
        <v>331</v>
      </c>
      <c r="C106">
        <f t="shared" ref="C106:D106" si="69">C42</f>
        <v>2021</v>
      </c>
      <c r="D106">
        <f t="shared" si="69"/>
        <v>12</v>
      </c>
      <c r="E106">
        <f t="shared" si="36"/>
        <v>5.0000000000000001E-3</v>
      </c>
      <c r="F106" t="str">
        <f t="shared" si="42"/>
        <v>exec spAddFactor 'PIPIncLPI5','2021','12','0.005'</v>
      </c>
      <c r="H106" t="s">
        <v>332</v>
      </c>
      <c r="I106">
        <v>2019</v>
      </c>
      <c r="J106">
        <v>1</v>
      </c>
      <c r="K106">
        <v>-1.7000000000000001E-2</v>
      </c>
      <c r="L106" t="str">
        <f t="shared" ref="L106:L108" si="70">"exec spAddFactor '"&amp;H106&amp;"','"&amp;I106&amp;"','"&amp;J106&amp;"','"&amp;K106&amp;"'"</f>
        <v>exec spAddFactor 'DiscountRateABI','2019','1','-0.017'</v>
      </c>
    </row>
    <row r="107" spans="2:12" x14ac:dyDescent="0.35">
      <c r="H107" t="s">
        <v>332</v>
      </c>
      <c r="I107">
        <v>2020</v>
      </c>
      <c r="J107">
        <v>1</v>
      </c>
      <c r="K107">
        <v>-1.7000000000000001E-2</v>
      </c>
      <c r="L107" t="str">
        <f t="shared" si="70"/>
        <v>exec spAddFactor 'DiscountRateABI','2020','1','-0.017'</v>
      </c>
    </row>
    <row r="108" spans="2:12" x14ac:dyDescent="0.35">
      <c r="H108" t="s">
        <v>332</v>
      </c>
      <c r="I108">
        <v>2021</v>
      </c>
      <c r="J108">
        <v>1</v>
      </c>
      <c r="K108">
        <v>-1.7000000000000001E-2</v>
      </c>
      <c r="L108" t="str">
        <f t="shared" si="70"/>
        <v>exec spAddFactor 'DiscountRateABI','2021','1','-0.017'</v>
      </c>
    </row>
  </sheetData>
  <sortState xmlns:xlrd2="http://schemas.microsoft.com/office/spreadsheetml/2017/richdata2" ref="C2:E9">
    <sortCondition ref="C2:C9"/>
  </sortState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9C6E2-3C74-4E3D-850A-47D434DA1003}">
  <dimension ref="A1:Z43"/>
  <sheetViews>
    <sheetView topLeftCell="A20" workbookViewId="0">
      <selection activeCell="P26" sqref="P26"/>
    </sheetView>
    <sheetView workbookViewId="1"/>
  </sheetViews>
  <sheetFormatPr defaultRowHeight="14.5" x14ac:dyDescent="0.35"/>
  <cols>
    <col min="16" max="16" width="32.1796875" bestFit="1" customWidth="1"/>
    <col min="19" max="19" width="33" bestFit="1" customWidth="1"/>
    <col min="20" max="20" width="7.6328125" bestFit="1" customWidth="1"/>
    <col min="24" max="24" width="24.26953125" customWidth="1"/>
  </cols>
  <sheetData>
    <row r="1" spans="1:26" ht="24" x14ac:dyDescent="0.35">
      <c r="A1" s="3" t="s">
        <v>7</v>
      </c>
      <c r="B1" s="3" t="s">
        <v>8</v>
      </c>
    </row>
    <row r="2" spans="1:26" ht="23" x14ac:dyDescent="0.35">
      <c r="A2" s="2" t="s">
        <v>9</v>
      </c>
      <c r="B2" s="2">
        <v>884.6</v>
      </c>
      <c r="E2" s="2" t="s">
        <v>79</v>
      </c>
      <c r="F2" s="2">
        <v>500.7</v>
      </c>
      <c r="I2" s="2" t="s">
        <v>9</v>
      </c>
      <c r="J2" s="2">
        <v>754.4</v>
      </c>
      <c r="L2" s="15" t="s">
        <v>118</v>
      </c>
      <c r="M2" s="15">
        <v>686.9</v>
      </c>
      <c r="P2" t="s">
        <v>192</v>
      </c>
      <c r="Q2" s="24">
        <v>0.86299999999999999</v>
      </c>
      <c r="S2" t="s">
        <v>210</v>
      </c>
      <c r="T2" s="24">
        <v>1.6259999999999999</v>
      </c>
      <c r="U2" t="s">
        <v>211</v>
      </c>
      <c r="W2" t="s">
        <v>242</v>
      </c>
      <c r="Y2" s="24">
        <v>1.4510000000000001</v>
      </c>
      <c r="Z2" t="s">
        <v>211</v>
      </c>
    </row>
    <row r="3" spans="1:26" ht="23" x14ac:dyDescent="0.35">
      <c r="A3" s="2" t="s">
        <v>10</v>
      </c>
      <c r="B3" s="2">
        <v>769</v>
      </c>
      <c r="E3" s="2" t="s">
        <v>80</v>
      </c>
      <c r="F3" s="2">
        <v>430.2</v>
      </c>
      <c r="I3" s="2" t="s">
        <v>10</v>
      </c>
      <c r="J3" s="2">
        <v>654.1</v>
      </c>
      <c r="L3" s="15" t="s">
        <v>119</v>
      </c>
      <c r="M3" s="15">
        <v>594.5</v>
      </c>
      <c r="P3" t="s">
        <v>193</v>
      </c>
      <c r="Q3" s="24">
        <v>0.80700000000000005</v>
      </c>
      <c r="S3" t="s">
        <v>212</v>
      </c>
      <c r="T3" s="24">
        <v>1.5469999999999999</v>
      </c>
      <c r="U3" t="s">
        <v>211</v>
      </c>
      <c r="W3" t="s">
        <v>243</v>
      </c>
      <c r="Y3" s="24">
        <v>1.377</v>
      </c>
      <c r="Z3" t="s">
        <v>211</v>
      </c>
    </row>
    <row r="4" spans="1:26" ht="23" x14ac:dyDescent="0.35">
      <c r="A4" s="2" t="s">
        <v>11</v>
      </c>
      <c r="B4" s="2">
        <v>626</v>
      </c>
      <c r="E4" s="2" t="s">
        <v>81</v>
      </c>
      <c r="F4" s="2">
        <v>342.9</v>
      </c>
      <c r="I4" s="2" t="s">
        <v>11</v>
      </c>
      <c r="J4" s="2">
        <v>530</v>
      </c>
      <c r="L4" s="15" t="s">
        <v>120</v>
      </c>
      <c r="M4" s="15">
        <v>480.2</v>
      </c>
      <c r="P4" t="s">
        <v>194</v>
      </c>
      <c r="Q4" s="24">
        <v>0.73399999999999999</v>
      </c>
      <c r="S4" t="s">
        <v>213</v>
      </c>
      <c r="T4" s="24">
        <v>1.4450000000000001</v>
      </c>
      <c r="U4" t="s">
        <v>211</v>
      </c>
      <c r="W4" t="s">
        <v>244</v>
      </c>
      <c r="Y4" s="24">
        <v>1.2809999999999999</v>
      </c>
      <c r="Z4" t="s">
        <v>211</v>
      </c>
    </row>
    <row r="5" spans="1:26" ht="23" x14ac:dyDescent="0.35">
      <c r="A5" s="2" t="s">
        <v>12</v>
      </c>
      <c r="B5" s="2">
        <v>508</v>
      </c>
      <c r="E5" s="2" t="s">
        <v>82</v>
      </c>
      <c r="F5" s="2">
        <v>270.89999999999998</v>
      </c>
      <c r="I5" s="2" t="s">
        <v>12</v>
      </c>
      <c r="J5" s="2">
        <v>427.6</v>
      </c>
      <c r="L5" s="15" t="s">
        <v>121</v>
      </c>
      <c r="M5" s="15">
        <v>385.9</v>
      </c>
      <c r="P5" t="s">
        <v>195</v>
      </c>
      <c r="Q5" s="24">
        <v>0.64</v>
      </c>
      <c r="S5" t="s">
        <v>214</v>
      </c>
      <c r="T5" s="24">
        <v>1.3129999999999999</v>
      </c>
      <c r="U5" t="s">
        <v>211</v>
      </c>
      <c r="W5" t="s">
        <v>245</v>
      </c>
      <c r="Y5" s="24">
        <v>1.1579999999999999</v>
      </c>
      <c r="Z5" t="s">
        <v>211</v>
      </c>
    </row>
    <row r="6" spans="1:26" ht="23" x14ac:dyDescent="0.35">
      <c r="A6" s="2" t="s">
        <v>13</v>
      </c>
      <c r="B6" s="2">
        <v>452.3</v>
      </c>
      <c r="E6" s="2" t="s">
        <v>83</v>
      </c>
      <c r="F6" s="2">
        <v>236.9</v>
      </c>
      <c r="I6" s="2" t="s">
        <v>13</v>
      </c>
      <c r="J6" s="2">
        <v>379.2</v>
      </c>
      <c r="L6" s="15" t="s">
        <v>122</v>
      </c>
      <c r="M6" s="15">
        <v>341.4</v>
      </c>
      <c r="P6" t="s">
        <v>196</v>
      </c>
      <c r="Q6" s="24">
        <v>0.52400000000000002</v>
      </c>
      <c r="S6" t="s">
        <v>215</v>
      </c>
      <c r="T6" s="24">
        <v>1.1499999999999999</v>
      </c>
      <c r="U6" t="s">
        <v>211</v>
      </c>
      <c r="W6" t="s">
        <v>246</v>
      </c>
      <c r="Y6" s="24">
        <v>1.006</v>
      </c>
      <c r="Z6" t="s">
        <v>211</v>
      </c>
    </row>
    <row r="7" spans="1:26" ht="23" x14ac:dyDescent="0.35">
      <c r="A7" s="2" t="s">
        <v>14</v>
      </c>
      <c r="B7" s="2">
        <v>412.8</v>
      </c>
      <c r="E7" s="2" t="s">
        <v>84</v>
      </c>
      <c r="F7" s="2">
        <v>212.8</v>
      </c>
      <c r="I7" s="2" t="s">
        <v>14</v>
      </c>
      <c r="J7" s="2">
        <v>345</v>
      </c>
      <c r="L7" s="15" t="s">
        <v>123</v>
      </c>
      <c r="M7" s="15">
        <v>309.8</v>
      </c>
      <c r="P7" t="s">
        <v>197</v>
      </c>
      <c r="Q7" s="24">
        <v>0.375</v>
      </c>
      <c r="S7" t="s">
        <v>216</v>
      </c>
      <c r="T7" s="24">
        <v>0.93799999999999994</v>
      </c>
      <c r="U7" t="s">
        <v>211</v>
      </c>
      <c r="W7" t="s">
        <v>247</v>
      </c>
      <c r="Y7" s="24">
        <v>0.80900000000000005</v>
      </c>
      <c r="Z7" t="s">
        <v>211</v>
      </c>
    </row>
    <row r="8" spans="1:26" ht="23" x14ac:dyDescent="0.35">
      <c r="A8" s="2" t="s">
        <v>15</v>
      </c>
      <c r="B8" s="2">
        <v>374.8</v>
      </c>
      <c r="E8" s="2" t="s">
        <v>85</v>
      </c>
      <c r="F8" s="2">
        <v>189.7</v>
      </c>
      <c r="I8" s="2" t="s">
        <v>15</v>
      </c>
      <c r="J8" s="2">
        <v>312</v>
      </c>
      <c r="L8" s="15" t="s">
        <v>124</v>
      </c>
      <c r="M8" s="15">
        <v>279.5</v>
      </c>
      <c r="P8" t="s">
        <v>198</v>
      </c>
      <c r="Q8" s="24">
        <v>0.32</v>
      </c>
      <c r="S8" t="s">
        <v>217</v>
      </c>
      <c r="T8" s="24">
        <v>0.86199999999999999</v>
      </c>
      <c r="U8" t="s">
        <v>211</v>
      </c>
      <c r="W8" t="s">
        <v>248</v>
      </c>
      <c r="Y8" s="24">
        <v>0.73699999999999999</v>
      </c>
      <c r="Z8" t="s">
        <v>211</v>
      </c>
    </row>
    <row r="9" spans="1:26" ht="23" x14ac:dyDescent="0.35">
      <c r="A9" s="2" t="s">
        <v>16</v>
      </c>
      <c r="B9" s="2">
        <v>345.4</v>
      </c>
      <c r="E9" s="2" t="s">
        <v>86</v>
      </c>
      <c r="F9" s="2">
        <v>171.7</v>
      </c>
      <c r="I9" s="2" t="s">
        <v>16</v>
      </c>
      <c r="J9" s="2">
        <v>286.5</v>
      </c>
      <c r="L9" s="15" t="s">
        <v>125</v>
      </c>
      <c r="M9" s="15">
        <v>256</v>
      </c>
      <c r="P9" t="s">
        <v>199</v>
      </c>
      <c r="Q9" s="24">
        <v>0.27500000000000002</v>
      </c>
      <c r="S9" t="s">
        <v>218</v>
      </c>
      <c r="T9" s="24">
        <v>0.79700000000000004</v>
      </c>
      <c r="U9" t="s">
        <v>211</v>
      </c>
      <c r="W9" t="s">
        <v>249</v>
      </c>
      <c r="Y9" s="24">
        <v>0.67700000000000005</v>
      </c>
      <c r="Z9" t="s">
        <v>211</v>
      </c>
    </row>
    <row r="10" spans="1:26" ht="23" x14ac:dyDescent="0.35">
      <c r="A10" s="2" t="s">
        <v>17</v>
      </c>
      <c r="B10" s="2">
        <v>309</v>
      </c>
      <c r="E10" s="2" t="s">
        <v>87</v>
      </c>
      <c r="F10" s="2">
        <v>149.5</v>
      </c>
      <c r="I10" s="2" t="s">
        <v>17</v>
      </c>
      <c r="J10" s="2">
        <v>254.9</v>
      </c>
      <c r="L10" s="15" t="s">
        <v>126</v>
      </c>
      <c r="M10" s="15">
        <v>226.9</v>
      </c>
      <c r="P10" t="s">
        <v>200</v>
      </c>
      <c r="Q10" s="24">
        <v>0.252</v>
      </c>
      <c r="S10" t="s">
        <v>219</v>
      </c>
      <c r="T10" s="24">
        <v>0.76500000000000001</v>
      </c>
      <c r="U10" t="s">
        <v>211</v>
      </c>
      <c r="W10" t="s">
        <v>250</v>
      </c>
      <c r="Y10" s="24">
        <v>0.64700000000000002</v>
      </c>
      <c r="Z10" t="s">
        <v>211</v>
      </c>
    </row>
    <row r="11" spans="1:26" ht="23" x14ac:dyDescent="0.35">
      <c r="A11" s="2" t="s">
        <v>18</v>
      </c>
      <c r="B11" s="2">
        <v>280.8</v>
      </c>
      <c r="E11" s="2" t="s">
        <v>88</v>
      </c>
      <c r="F11" s="2">
        <v>132.30000000000001</v>
      </c>
      <c r="I11" s="2" t="s">
        <v>18</v>
      </c>
      <c r="J11" s="2">
        <v>230.4</v>
      </c>
      <c r="L11" s="15" t="s">
        <v>127</v>
      </c>
      <c r="M11" s="15">
        <v>204.3</v>
      </c>
      <c r="P11" t="s">
        <v>201</v>
      </c>
      <c r="Q11" s="24">
        <v>0.22500000000000001</v>
      </c>
      <c r="S11" t="s">
        <v>220</v>
      </c>
      <c r="T11" s="24">
        <v>0.72699999999999998</v>
      </c>
      <c r="U11" t="s">
        <v>211</v>
      </c>
      <c r="W11" t="s">
        <v>251</v>
      </c>
      <c r="Y11" s="24">
        <v>0.61199999999999999</v>
      </c>
      <c r="Z11" t="s">
        <v>211</v>
      </c>
    </row>
    <row r="12" spans="1:26" ht="23" x14ac:dyDescent="0.35">
      <c r="A12" s="2" t="s">
        <v>19</v>
      </c>
      <c r="B12" s="2">
        <v>250.3</v>
      </c>
      <c r="E12" s="2" t="s">
        <v>89</v>
      </c>
      <c r="F12" s="2">
        <v>113.7</v>
      </c>
      <c r="I12" s="2" t="s">
        <v>19</v>
      </c>
      <c r="J12" s="2">
        <v>204</v>
      </c>
      <c r="L12" s="15" t="s">
        <v>128</v>
      </c>
      <c r="M12" s="15">
        <v>180</v>
      </c>
      <c r="P12" t="s">
        <v>202</v>
      </c>
      <c r="Q12" s="24">
        <v>0.17899999999999999</v>
      </c>
      <c r="S12" t="s">
        <v>221</v>
      </c>
      <c r="T12" s="24">
        <v>0.66300000000000003</v>
      </c>
      <c r="U12" t="s">
        <v>211</v>
      </c>
      <c r="W12" t="s">
        <v>252</v>
      </c>
      <c r="Y12" s="24">
        <v>0.55100000000000005</v>
      </c>
      <c r="Z12" t="s">
        <v>211</v>
      </c>
    </row>
    <row r="13" spans="1:26" ht="23" x14ac:dyDescent="0.35">
      <c r="A13" s="2" t="s">
        <v>20</v>
      </c>
      <c r="B13" s="2">
        <v>216.2</v>
      </c>
      <c r="E13" s="2" t="s">
        <v>65</v>
      </c>
      <c r="F13" s="2">
        <v>92.9</v>
      </c>
      <c r="I13" s="2" t="s">
        <v>20</v>
      </c>
      <c r="J13" s="2">
        <v>174.4</v>
      </c>
      <c r="L13" s="15" t="s">
        <v>129</v>
      </c>
      <c r="M13" s="15">
        <v>152.69999999999999</v>
      </c>
      <c r="P13" t="s">
        <v>203</v>
      </c>
      <c r="Q13" s="24">
        <v>0.155</v>
      </c>
      <c r="S13" t="s">
        <v>222</v>
      </c>
      <c r="T13" s="24">
        <v>0.628</v>
      </c>
      <c r="U13" t="s">
        <v>211</v>
      </c>
      <c r="W13" t="s">
        <v>253</v>
      </c>
      <c r="Y13" s="24">
        <v>0.51900000000000002</v>
      </c>
      <c r="Z13" t="s">
        <v>211</v>
      </c>
    </row>
    <row r="14" spans="1:26" ht="23" x14ac:dyDescent="0.35">
      <c r="A14" s="2" t="s">
        <v>21</v>
      </c>
      <c r="B14" s="2">
        <v>194.7</v>
      </c>
      <c r="E14" s="2" t="s">
        <v>66</v>
      </c>
      <c r="F14" s="2">
        <v>79.8</v>
      </c>
      <c r="I14" s="2" t="s">
        <v>21</v>
      </c>
      <c r="J14" s="2">
        <v>155.69999999999999</v>
      </c>
      <c r="L14" s="15" t="s">
        <v>130</v>
      </c>
      <c r="M14" s="15">
        <v>135.5</v>
      </c>
      <c r="P14" t="s">
        <v>204</v>
      </c>
      <c r="Q14" s="24">
        <v>0.115</v>
      </c>
      <c r="S14" t="s">
        <v>223</v>
      </c>
      <c r="T14" s="24">
        <v>0.57199999999999995</v>
      </c>
      <c r="U14" t="s">
        <v>211</v>
      </c>
      <c r="W14" t="s">
        <v>254</v>
      </c>
      <c r="Y14" s="24">
        <v>0.46700000000000003</v>
      </c>
      <c r="Z14" t="s">
        <v>211</v>
      </c>
    </row>
    <row r="15" spans="1:26" ht="23" x14ac:dyDescent="0.35">
      <c r="A15" s="2" t="s">
        <v>22</v>
      </c>
      <c r="B15" s="2">
        <v>167.6</v>
      </c>
      <c r="E15" s="2" t="s">
        <v>67</v>
      </c>
      <c r="F15" s="2">
        <v>63.3</v>
      </c>
      <c r="I15" s="2" t="s">
        <v>22</v>
      </c>
      <c r="J15" s="2">
        <v>132.19999999999999</v>
      </c>
      <c r="L15" s="15" t="s">
        <v>131</v>
      </c>
      <c r="M15" s="15">
        <v>113.9</v>
      </c>
      <c r="P15" t="s">
        <v>205</v>
      </c>
      <c r="Q15" s="24">
        <v>0.08</v>
      </c>
      <c r="S15" t="s">
        <v>224</v>
      </c>
      <c r="T15" s="24">
        <v>0.52300000000000002</v>
      </c>
      <c r="U15" t="s">
        <v>211</v>
      </c>
      <c r="W15" t="s">
        <v>255</v>
      </c>
      <c r="Y15" s="24">
        <v>0.42099999999999999</v>
      </c>
      <c r="Z15" t="s">
        <v>211</v>
      </c>
    </row>
    <row r="16" spans="1:26" ht="23" x14ac:dyDescent="0.35">
      <c r="A16" s="2" t="s">
        <v>23</v>
      </c>
      <c r="B16" s="2">
        <v>151.30000000000001</v>
      </c>
      <c r="E16" s="2" t="s">
        <v>68</v>
      </c>
      <c r="F16" s="2">
        <v>53.3</v>
      </c>
      <c r="I16" s="2" t="s">
        <v>23</v>
      </c>
      <c r="J16" s="2">
        <v>118.1</v>
      </c>
      <c r="L16" s="15" t="s">
        <v>132</v>
      </c>
      <c r="M16" s="15">
        <v>100.8</v>
      </c>
      <c r="P16" t="s">
        <v>206</v>
      </c>
      <c r="Q16" s="24">
        <v>6.8000000000000005E-2</v>
      </c>
      <c r="S16" t="s">
        <v>225</v>
      </c>
      <c r="T16" s="24">
        <v>0.50600000000000001</v>
      </c>
      <c r="U16" t="s">
        <v>211</v>
      </c>
      <c r="W16" t="s">
        <v>256</v>
      </c>
      <c r="Y16" s="24">
        <v>0.40600000000000003</v>
      </c>
      <c r="Z16" t="s">
        <v>211</v>
      </c>
    </row>
    <row r="17" spans="1:26" ht="23" x14ac:dyDescent="0.35">
      <c r="A17" s="2" t="s">
        <v>24</v>
      </c>
      <c r="B17" s="2">
        <v>139.30000000000001</v>
      </c>
      <c r="E17" s="2" t="s">
        <v>69</v>
      </c>
      <c r="F17" s="2">
        <v>46</v>
      </c>
      <c r="I17" s="2" t="s">
        <v>24</v>
      </c>
      <c r="J17" s="2">
        <v>107.7</v>
      </c>
      <c r="L17" s="15" t="s">
        <v>133</v>
      </c>
      <c r="M17" s="15">
        <v>91.3</v>
      </c>
      <c r="P17" t="s">
        <v>207</v>
      </c>
      <c r="Q17" s="24">
        <v>3.4000000000000002E-2</v>
      </c>
      <c r="S17" t="s">
        <v>226</v>
      </c>
      <c r="T17" s="24">
        <v>0.45800000000000002</v>
      </c>
      <c r="U17" t="s">
        <v>211</v>
      </c>
      <c r="W17" t="s">
        <v>257</v>
      </c>
      <c r="Y17" s="24">
        <v>0.36099999999999999</v>
      </c>
      <c r="Z17" t="s">
        <v>211</v>
      </c>
    </row>
    <row r="18" spans="1:26" ht="23" x14ac:dyDescent="0.35">
      <c r="A18" s="2" t="s">
        <v>25</v>
      </c>
      <c r="B18" s="2">
        <v>132.1</v>
      </c>
      <c r="E18" s="2" t="s">
        <v>70</v>
      </c>
      <c r="F18" s="2">
        <v>41.6</v>
      </c>
      <c r="I18" s="2" t="s">
        <v>25</v>
      </c>
      <c r="J18" s="2">
        <v>101.4</v>
      </c>
      <c r="L18" s="15" t="s">
        <v>134</v>
      </c>
      <c r="M18" s="15">
        <v>85.5</v>
      </c>
      <c r="P18" t="s">
        <v>208</v>
      </c>
      <c r="Q18">
        <v>1.7</v>
      </c>
      <c r="S18" t="s">
        <v>227</v>
      </c>
      <c r="T18" s="24">
        <v>0.434</v>
      </c>
      <c r="U18" t="s">
        <v>211</v>
      </c>
      <c r="W18" t="s">
        <v>258</v>
      </c>
      <c r="Y18" s="24">
        <v>0.33800000000000002</v>
      </c>
      <c r="Z18" t="s">
        <v>211</v>
      </c>
    </row>
    <row r="19" spans="1:26" ht="23" x14ac:dyDescent="0.35">
      <c r="A19" s="2" t="s">
        <v>26</v>
      </c>
      <c r="B19" s="2">
        <v>122.4</v>
      </c>
      <c r="E19" s="2" t="s">
        <v>71</v>
      </c>
      <c r="F19" s="2">
        <v>35.700000000000003</v>
      </c>
      <c r="I19" s="2" t="s">
        <v>26</v>
      </c>
      <c r="J19" s="2">
        <v>93</v>
      </c>
      <c r="L19" s="15" t="s">
        <v>135</v>
      </c>
      <c r="M19" s="15">
        <v>77.7</v>
      </c>
      <c r="S19" t="s">
        <v>228</v>
      </c>
      <c r="T19" s="24">
        <v>0.41</v>
      </c>
      <c r="U19" t="s">
        <v>211</v>
      </c>
      <c r="W19" t="s">
        <v>259</v>
      </c>
      <c r="Y19" s="24">
        <v>0.316</v>
      </c>
      <c r="Z19" t="s">
        <v>211</v>
      </c>
    </row>
    <row r="20" spans="1:26" ht="23" x14ac:dyDescent="0.35">
      <c r="A20" s="2" t="s">
        <v>27</v>
      </c>
      <c r="B20" s="2">
        <v>116.3</v>
      </c>
      <c r="E20" s="2" t="s">
        <v>72</v>
      </c>
      <c r="F20" s="2">
        <v>32</v>
      </c>
      <c r="I20" s="2" t="s">
        <v>27</v>
      </c>
      <c r="J20" s="2">
        <v>87.7</v>
      </c>
      <c r="L20" s="15" t="s">
        <v>136</v>
      </c>
      <c r="M20" s="15">
        <v>72.900000000000006</v>
      </c>
      <c r="S20" t="s">
        <v>229</v>
      </c>
      <c r="T20" s="24">
        <v>0.372</v>
      </c>
      <c r="U20" t="s">
        <v>211</v>
      </c>
      <c r="W20" t="s">
        <v>260</v>
      </c>
      <c r="Y20" s="24">
        <v>0.28000000000000003</v>
      </c>
      <c r="Z20" t="s">
        <v>211</v>
      </c>
    </row>
    <row r="21" spans="1:26" ht="23" x14ac:dyDescent="0.35">
      <c r="A21" s="2" t="s">
        <v>28</v>
      </c>
      <c r="B21" s="2">
        <v>106</v>
      </c>
      <c r="E21" s="2" t="s">
        <v>90</v>
      </c>
      <c r="F21" s="2">
        <v>25.7</v>
      </c>
      <c r="I21" s="2" t="s">
        <v>28</v>
      </c>
      <c r="J21" s="2">
        <v>78.8</v>
      </c>
      <c r="L21" s="15" t="s">
        <v>137</v>
      </c>
      <c r="M21" s="15">
        <v>64.599999999999994</v>
      </c>
      <c r="S21" t="s">
        <v>230</v>
      </c>
      <c r="T21" s="24">
        <v>0.33</v>
      </c>
      <c r="U21" t="s">
        <v>211</v>
      </c>
      <c r="W21" t="s">
        <v>261</v>
      </c>
      <c r="Y21" s="24">
        <v>0.24099999999999999</v>
      </c>
      <c r="Z21" t="s">
        <v>211</v>
      </c>
    </row>
    <row r="22" spans="1:26" ht="23" x14ac:dyDescent="0.35">
      <c r="A22" s="2" t="s">
        <v>29</v>
      </c>
      <c r="B22" s="2">
        <v>96.9</v>
      </c>
      <c r="E22" s="2" t="s">
        <v>91</v>
      </c>
      <c r="F22" s="2">
        <v>20.100000000000001</v>
      </c>
      <c r="I22" s="2" t="s">
        <v>29</v>
      </c>
      <c r="J22" s="2">
        <v>70.900000000000006</v>
      </c>
      <c r="L22" s="15" t="s">
        <v>138</v>
      </c>
      <c r="M22" s="15">
        <v>57.4</v>
      </c>
      <c r="S22" t="s">
        <v>231</v>
      </c>
      <c r="T22" s="24">
        <v>0.29499999999999998</v>
      </c>
      <c r="U22" t="s">
        <v>211</v>
      </c>
      <c r="W22" t="s">
        <v>262</v>
      </c>
      <c r="Y22" s="24">
        <v>0.20899999999999999</v>
      </c>
      <c r="Z22" t="s">
        <v>211</v>
      </c>
    </row>
    <row r="23" spans="1:26" ht="23" x14ac:dyDescent="0.35">
      <c r="A23" s="2" t="s">
        <v>30</v>
      </c>
      <c r="B23" s="2">
        <v>89</v>
      </c>
      <c r="E23" s="2" t="s">
        <v>92</v>
      </c>
      <c r="F23" s="2">
        <v>15.3</v>
      </c>
      <c r="I23" s="2" t="s">
        <v>30</v>
      </c>
      <c r="J23" s="2">
        <v>64</v>
      </c>
      <c r="L23" s="15" t="s">
        <v>139</v>
      </c>
      <c r="M23" s="15">
        <v>51.1</v>
      </c>
      <c r="S23" t="s">
        <v>232</v>
      </c>
      <c r="T23" s="24">
        <v>0.25</v>
      </c>
      <c r="U23" t="s">
        <v>211</v>
      </c>
      <c r="W23" t="s">
        <v>263</v>
      </c>
      <c r="Y23" s="24">
        <v>0.16700000000000001</v>
      </c>
      <c r="Z23" t="s">
        <v>211</v>
      </c>
    </row>
    <row r="24" spans="1:26" ht="23" x14ac:dyDescent="0.35">
      <c r="A24" s="2" t="s">
        <v>31</v>
      </c>
      <c r="B24" s="2">
        <v>77.8</v>
      </c>
      <c r="E24" s="2" t="s">
        <v>93</v>
      </c>
      <c r="F24" s="2">
        <v>8.5</v>
      </c>
      <c r="I24" s="2" t="s">
        <v>31</v>
      </c>
      <c r="J24" s="2">
        <v>54.3</v>
      </c>
      <c r="L24" s="15" t="s">
        <v>140</v>
      </c>
      <c r="M24" s="15">
        <v>42.1</v>
      </c>
      <c r="S24" t="s">
        <v>233</v>
      </c>
      <c r="T24" s="24">
        <v>0.20300000000000001</v>
      </c>
      <c r="U24" t="s">
        <v>211</v>
      </c>
      <c r="W24" t="s">
        <v>264</v>
      </c>
      <c r="Y24" s="24">
        <v>0.123</v>
      </c>
      <c r="Z24" t="s">
        <v>211</v>
      </c>
    </row>
    <row r="25" spans="1:26" ht="23" x14ac:dyDescent="0.35">
      <c r="A25" s="2" t="s">
        <v>32</v>
      </c>
      <c r="B25" s="2">
        <v>71</v>
      </c>
      <c r="E25" s="2" t="s">
        <v>94</v>
      </c>
      <c r="F25" s="2">
        <v>4.3</v>
      </c>
      <c r="I25" s="2" t="s">
        <v>32</v>
      </c>
      <c r="J25" s="2">
        <v>48.4</v>
      </c>
      <c r="L25" s="15" t="s">
        <v>141</v>
      </c>
      <c r="M25" s="15">
        <v>36.6</v>
      </c>
      <c r="S25" t="s">
        <v>234</v>
      </c>
      <c r="T25" s="24">
        <v>0.14599999999999999</v>
      </c>
      <c r="U25" s="24">
        <v>0.14599999999999999</v>
      </c>
      <c r="W25" t="s">
        <v>265</v>
      </c>
      <c r="Y25" s="24">
        <v>6.9000000000000006E-2</v>
      </c>
      <c r="Z25" s="24">
        <v>6.9000000000000006E-2</v>
      </c>
    </row>
    <row r="26" spans="1:26" ht="23" x14ac:dyDescent="0.35">
      <c r="A26" s="2" t="s">
        <v>33</v>
      </c>
      <c r="B26" s="2">
        <v>63.9</v>
      </c>
      <c r="I26" s="2" t="s">
        <v>33</v>
      </c>
      <c r="J26" s="2">
        <v>42.2</v>
      </c>
      <c r="L26" s="15" t="s">
        <v>142</v>
      </c>
      <c r="M26" s="15">
        <v>31</v>
      </c>
      <c r="S26" t="s">
        <v>235</v>
      </c>
      <c r="T26" s="24">
        <v>0.16200000000000001</v>
      </c>
      <c r="U26" s="24">
        <v>0.16200000000000001</v>
      </c>
      <c r="W26" t="s">
        <v>266</v>
      </c>
      <c r="Y26" s="24">
        <v>8.5000000000000006E-2</v>
      </c>
      <c r="Z26" s="24">
        <v>5.0999999999999997E-2</v>
      </c>
    </row>
    <row r="27" spans="1:26" ht="23" x14ac:dyDescent="0.35">
      <c r="A27" s="2" t="s">
        <v>34</v>
      </c>
      <c r="B27" s="2">
        <v>58.2</v>
      </c>
      <c r="I27" s="2" t="s">
        <v>34</v>
      </c>
      <c r="J27" s="2">
        <v>37.299999999999997</v>
      </c>
      <c r="L27" s="15" t="s">
        <v>143</v>
      </c>
      <c r="M27" s="15">
        <v>26.5</v>
      </c>
      <c r="S27" t="s">
        <v>236</v>
      </c>
      <c r="T27" s="24">
        <v>0.127</v>
      </c>
      <c r="U27" s="24">
        <v>0.127</v>
      </c>
      <c r="W27" t="s">
        <v>267</v>
      </c>
      <c r="Y27" s="24">
        <v>0.05</v>
      </c>
      <c r="Z27" s="24">
        <v>2.5000000000000001E-2</v>
      </c>
    </row>
    <row r="28" spans="1:26" ht="23" x14ac:dyDescent="0.35">
      <c r="A28" s="2" t="s">
        <v>35</v>
      </c>
      <c r="B28" s="2">
        <v>52.4</v>
      </c>
      <c r="I28" s="2" t="s">
        <v>35</v>
      </c>
      <c r="J28" s="2">
        <v>32.299999999999997</v>
      </c>
      <c r="L28" s="15" t="s">
        <v>144</v>
      </c>
      <c r="M28" s="15">
        <v>21.8</v>
      </c>
      <c r="S28" t="s">
        <v>237</v>
      </c>
      <c r="T28" s="24">
        <v>7.1999999999999995E-2</v>
      </c>
      <c r="U28" s="24">
        <v>7.1999999999999995E-2</v>
      </c>
    </row>
    <row r="29" spans="1:26" ht="23" x14ac:dyDescent="0.35">
      <c r="A29" s="2" t="s">
        <v>36</v>
      </c>
      <c r="B29" s="2">
        <v>46.4</v>
      </c>
      <c r="I29" s="2" t="s">
        <v>36</v>
      </c>
      <c r="J29" s="2">
        <v>27.1</v>
      </c>
      <c r="L29" s="15" t="s">
        <v>145</v>
      </c>
      <c r="M29" s="15">
        <v>17</v>
      </c>
      <c r="S29" t="s">
        <v>238</v>
      </c>
      <c r="T29" s="24">
        <v>4.9000000000000002E-2</v>
      </c>
      <c r="U29" s="24">
        <v>4.9000000000000002E-2</v>
      </c>
    </row>
    <row r="30" spans="1:26" ht="23" x14ac:dyDescent="0.35">
      <c r="A30" s="2" t="s">
        <v>37</v>
      </c>
      <c r="B30" s="2">
        <v>41.6</v>
      </c>
      <c r="I30" s="2" t="s">
        <v>37</v>
      </c>
      <c r="J30" s="2">
        <v>22.9</v>
      </c>
      <c r="L30" s="15" t="s">
        <v>146</v>
      </c>
      <c r="M30" s="15">
        <v>13.2</v>
      </c>
      <c r="S30" t="s">
        <v>239</v>
      </c>
      <c r="T30" s="24">
        <v>2.1000000000000001E-2</v>
      </c>
      <c r="U30" s="24">
        <v>2.1000000000000001E-2</v>
      </c>
    </row>
    <row r="31" spans="1:26" ht="23" x14ac:dyDescent="0.35">
      <c r="A31" s="2" t="s">
        <v>38</v>
      </c>
      <c r="B31" s="2">
        <v>36</v>
      </c>
      <c r="I31" s="2" t="s">
        <v>38</v>
      </c>
      <c r="J31" s="2">
        <v>18</v>
      </c>
      <c r="L31" s="15" t="s">
        <v>147</v>
      </c>
      <c r="M31" s="15">
        <v>8.6999999999999993</v>
      </c>
      <c r="S31" t="s">
        <v>240</v>
      </c>
      <c r="T31" s="24">
        <v>8.9999999999999993E-3</v>
      </c>
      <c r="U31" s="24">
        <v>8.9999999999999993E-3</v>
      </c>
    </row>
    <row r="32" spans="1:26" ht="23" x14ac:dyDescent="0.35">
      <c r="A32" s="2" t="s">
        <v>39</v>
      </c>
      <c r="B32" s="2">
        <v>30.6</v>
      </c>
      <c r="I32" s="2" t="s">
        <v>39</v>
      </c>
      <c r="J32" s="2">
        <v>13.3</v>
      </c>
      <c r="L32" s="15" t="s">
        <v>148</v>
      </c>
      <c r="M32" s="15">
        <v>4.3</v>
      </c>
      <c r="S32" t="s">
        <v>241</v>
      </c>
      <c r="T32" s="24">
        <v>0.01</v>
      </c>
      <c r="U32" s="24">
        <v>0.01</v>
      </c>
    </row>
    <row r="33" spans="1:13" ht="23" x14ac:dyDescent="0.35">
      <c r="A33" s="2" t="s">
        <v>40</v>
      </c>
      <c r="B33" s="2">
        <v>26.6</v>
      </c>
      <c r="I33" s="2" t="s">
        <v>40</v>
      </c>
      <c r="J33" s="2">
        <v>9.9</v>
      </c>
      <c r="L33" s="15" t="s">
        <v>149</v>
      </c>
      <c r="M33" s="15">
        <v>1.2</v>
      </c>
    </row>
    <row r="34" spans="1:13" x14ac:dyDescent="0.35">
      <c r="A34" s="2" t="s">
        <v>41</v>
      </c>
      <c r="B34" s="2">
        <v>25.1</v>
      </c>
      <c r="I34" s="2" t="s">
        <v>41</v>
      </c>
      <c r="J34" s="2">
        <v>8.6</v>
      </c>
    </row>
    <row r="35" spans="1:13" x14ac:dyDescent="0.35">
      <c r="A35" s="2" t="s">
        <v>42</v>
      </c>
      <c r="B35" s="2">
        <v>22.3</v>
      </c>
      <c r="I35" s="2" t="s">
        <v>42</v>
      </c>
      <c r="J35" s="2">
        <v>6.1</v>
      </c>
    </row>
    <row r="36" spans="1:13" x14ac:dyDescent="0.35">
      <c r="A36" s="2" t="s">
        <v>43</v>
      </c>
      <c r="B36" s="2">
        <v>20.100000000000001</v>
      </c>
      <c r="I36" s="2" t="s">
        <v>43</v>
      </c>
      <c r="J36" s="2">
        <v>4.3</v>
      </c>
    </row>
    <row r="37" spans="1:13" x14ac:dyDescent="0.35">
      <c r="A37" s="2" t="s">
        <v>44</v>
      </c>
      <c r="B37" s="2">
        <v>18</v>
      </c>
      <c r="I37" s="2" t="s">
        <v>44</v>
      </c>
      <c r="J37" s="2">
        <v>2.4</v>
      </c>
    </row>
    <row r="38" spans="1:13" x14ac:dyDescent="0.35">
      <c r="A38" s="2" t="s">
        <v>45</v>
      </c>
      <c r="B38" s="2">
        <v>17</v>
      </c>
      <c r="I38" s="2" t="s">
        <v>45</v>
      </c>
      <c r="J38" s="2">
        <v>1.5</v>
      </c>
    </row>
    <row r="39" spans="1:13" x14ac:dyDescent="0.35">
      <c r="A39" s="2" t="s">
        <v>46</v>
      </c>
      <c r="B39" s="2">
        <v>15.2</v>
      </c>
    </row>
    <row r="40" spans="1:13" x14ac:dyDescent="0.35">
      <c r="A40" s="2" t="s">
        <v>47</v>
      </c>
      <c r="B40" s="2">
        <v>13</v>
      </c>
    </row>
    <row r="41" spans="1:13" x14ac:dyDescent="0.35">
      <c r="A41" s="2" t="s">
        <v>48</v>
      </c>
      <c r="B41" s="2">
        <v>10.1</v>
      </c>
    </row>
    <row r="42" spans="1:13" x14ac:dyDescent="0.35">
      <c r="A42" s="2" t="s">
        <v>49</v>
      </c>
      <c r="B42" s="2">
        <v>6.9</v>
      </c>
    </row>
    <row r="43" spans="1:13" x14ac:dyDescent="0.35">
      <c r="A43" s="2" t="s">
        <v>50</v>
      </c>
      <c r="B43" s="2">
        <v>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52</vt:i4>
      </vt:variant>
    </vt:vector>
  </HeadingPairs>
  <TitlesOfParts>
    <vt:vector size="57" baseType="lpstr">
      <vt:lpstr>Input</vt:lpstr>
      <vt:lpstr>Calculation</vt:lpstr>
      <vt:lpstr>Earnings Factors</vt:lpstr>
      <vt:lpstr>Other Factors</vt:lpstr>
      <vt:lpstr>Scratch</vt:lpstr>
      <vt:lpstr>CurrentCase</vt:lpstr>
      <vt:lpstr>DateCOEnd</vt:lpstr>
      <vt:lpstr>DateCOStart</vt:lpstr>
      <vt:lpstr>DateOf16thBirthday</vt:lpstr>
      <vt:lpstr>DateOfBVG</vt:lpstr>
      <vt:lpstr>DateOfDeath</vt:lpstr>
      <vt:lpstr>DateOfEQ</vt:lpstr>
      <vt:lpstr>DateOfLeaving</vt:lpstr>
      <vt:lpstr>DateOfPrevApril</vt:lpstr>
      <vt:lpstr>DateOfRetirement</vt:lpstr>
      <vt:lpstr>DatePost88Start</vt:lpstr>
      <vt:lpstr>DateWorkingLifeStarts</vt:lpstr>
      <vt:lpstr>DOB</vt:lpstr>
      <vt:lpstr>EarningsFactors</vt:lpstr>
      <vt:lpstr>EarningsFactorYear</vt:lpstr>
      <vt:lpstr>EFRow</vt:lpstr>
      <vt:lpstr>EstPenSalHigh</vt:lpstr>
      <vt:lpstr>EstPenSalLow</vt:lpstr>
      <vt:lpstr>EstPenSalMed</vt:lpstr>
      <vt:lpstr>EstPensionHighAccrual</vt:lpstr>
      <vt:lpstr>EstPensionLowAccrual</vt:lpstr>
      <vt:lpstr>EstPensionMedAccrual</vt:lpstr>
      <vt:lpstr>FixedFacF</vt:lpstr>
      <vt:lpstr>FixedFacM</vt:lpstr>
      <vt:lpstr>FuturePIPincs</vt:lpstr>
      <vt:lpstr>GMPFixedRate</vt:lpstr>
      <vt:lpstr>GMPFixedRateTable</vt:lpstr>
      <vt:lpstr>GMPRev</vt:lpstr>
      <vt:lpstr>InputData</vt:lpstr>
      <vt:lpstr>InputFields</vt:lpstr>
      <vt:lpstr>NRA60XS</vt:lpstr>
      <vt:lpstr>NRA65XS</vt:lpstr>
      <vt:lpstr>Post88RGMP</vt:lpstr>
      <vt:lpstr>PostEQNRA</vt:lpstr>
      <vt:lpstr>Pre88RGMP</vt:lpstr>
      <vt:lpstr>PreEQNRAF</vt:lpstr>
      <vt:lpstr>PreEQNRAM</vt:lpstr>
      <vt:lpstr>PublicsectorIncreaseTable</vt:lpstr>
      <vt:lpstr>S148FacF</vt:lpstr>
      <vt:lpstr>S148FacM</vt:lpstr>
      <vt:lpstr>S52AEndYear</vt:lpstr>
      <vt:lpstr>S52AFactorValue</vt:lpstr>
      <vt:lpstr>S52AStartYear</vt:lpstr>
      <vt:lpstr>Service</vt:lpstr>
      <vt:lpstr>Sex</vt:lpstr>
      <vt:lpstr>TaxYear60</vt:lpstr>
      <vt:lpstr>TaxYear65</vt:lpstr>
      <vt:lpstr>TaxYearBase</vt:lpstr>
      <vt:lpstr>TaxYearGMP</vt:lpstr>
      <vt:lpstr>WorkingLifeF</vt:lpstr>
      <vt:lpstr>WorkingLifeM</vt:lpstr>
      <vt:lpstr>YearWorkingLifeEndsM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Sanderson</dc:creator>
  <cp:lastModifiedBy>Charles Sanderson</cp:lastModifiedBy>
  <cp:lastPrinted>2021-12-28T16:56:19Z</cp:lastPrinted>
  <dcterms:created xsi:type="dcterms:W3CDTF">2015-06-05T18:17:20Z</dcterms:created>
  <dcterms:modified xsi:type="dcterms:W3CDTF">2026-02-25T06:07:44Z</dcterms:modified>
</cp:coreProperties>
</file>